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dmytr\TMG Dropbox\- Active Listings &amp; Escrows\Chris\Chris - (Sealy, TX) - Harvest Moon\- Info for Buyers - Financials\Templates\"/>
    </mc:Choice>
  </mc:AlternateContent>
  <xr:revisionPtr revIDLastSave="0" documentId="13_ncr:1_{AA69039E-E9EC-4007-9AE7-E49C71F2B77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railing Financials" sheetId="2" r:id="rId1"/>
    <sheet name="RawData" sheetId="4" r:id="rId2"/>
    <sheet name="masterkeytable" sheetId="6" state="hidden" r:id="rId3"/>
    <sheet name="Masterkey" sheetId="3" state="hidden" r:id="rId4"/>
    <sheet name="Final T-12" sheetId="51" r:id="rId5"/>
    <sheet name="codes" sheetId="52" state="hidden" r:id="rId6"/>
    <sheet name="Trailing 12 Month Statement" sheetId="50" state="hidden" r:id="rId7"/>
    <sheet name="nullvalues" sheetId="26" state="hidden" r:id="rId8"/>
    <sheet name="Sheet3" sheetId="25" state="hidden" r:id="rId9"/>
  </sheets>
  <definedNames>
    <definedName name="ExternalData_1" localSheetId="2" hidden="1">masterkeytable!$A$1:$O$52</definedName>
    <definedName name="ExternalData_1" localSheetId="7" hidden="1">nullvalues!$A$1:$O$2</definedName>
    <definedName name="ExternalData_25" localSheetId="6" hidden="1">'Trailing 12 Month Statement'!$A$1:$O$109</definedName>
    <definedName name="ExternalData_26" localSheetId="4" hidden="1">'Final T-12'!$A$1:$O$110</definedName>
    <definedName name="GeneratedBy">#REF!</definedName>
    <definedName name="masterkeytable">Masterkey!$A$1:$B$50</definedName>
    <definedName name="rediq_dealname">'Trailing Financials'!$A$1</definedName>
    <definedName name="rediq_lineitems_overview" comment=" Do not delete: 15,36">'Trailing Financials'!#REF!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N3" i="4"/>
  <c r="M3" i="4"/>
  <c r="L3" i="4"/>
  <c r="K3" i="4"/>
  <c r="J3" i="4"/>
  <c r="I3" i="4"/>
  <c r="H3" i="4"/>
  <c r="G3" i="4"/>
  <c r="F3" i="4"/>
  <c r="E3" i="4"/>
  <c r="D3" i="4"/>
  <c r="C3" i="4"/>
  <c r="D1" i="4"/>
  <c r="E1" i="4"/>
  <c r="F1" i="4"/>
  <c r="G1" i="4"/>
  <c r="H1" i="4"/>
  <c r="I1" i="4"/>
  <c r="J1" i="4"/>
  <c r="K1" i="4"/>
  <c r="L1" i="4"/>
  <c r="M1" i="4"/>
  <c r="N1" i="4"/>
  <c r="O1" i="4"/>
  <c r="C1" i="4"/>
  <c r="N4" i="2" a="1"/>
  <c r="M4" i="2" a="1"/>
  <c r="L4" i="2" a="1"/>
  <c r="K4" i="2" a="1"/>
  <c r="J4" i="2" a="1"/>
  <c r="I4" i="2" a="1"/>
  <c r="H4" i="2" a="1"/>
  <c r="G4" i="2" a="1"/>
  <c r="F4" i="2" a="1"/>
  <c r="E4" i="2" a="1"/>
  <c r="D4" i="2" a="1"/>
  <c r="C4" i="2" a="1"/>
  <c r="B4" i="2" a="1"/>
  <c r="A4" i="2" a="1"/>
  <c r="D2" i="4"/>
  <c r="E2" i="4"/>
  <c r="F2" i="4"/>
  <c r="G2" i="4"/>
  <c r="H2" i="4"/>
  <c r="I2" i="4"/>
  <c r="J2" i="4"/>
  <c r="K2" i="4"/>
  <c r="L2" i="4"/>
  <c r="M2" i="4"/>
  <c r="N2" i="4"/>
  <c r="O2" i="4"/>
  <c r="C2" i="4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518B85-E5BF-4F66-9ECA-F5AA0A08C07B}" keepAlive="1" name="Query - Admin" description="Connection to the 'Admin' query in the workbook." type="5" refreshedVersion="8" background="1" saveData="1">
    <dbPr connection="Provider=Microsoft.Mashup.OleDb.1;Data Source=$Workbook$;Location=Admin;Extended Properties=&quot;&quot;" command="SELECT * FROM [Admin]"/>
  </connection>
  <connection id="2" xr16:uid="{11711010-DB1E-41CB-AC35-E6421E662C02}" keepAlive="1" name="Query - bad debt" description="Connection to the 'bad debt' query in the workbook." type="5" refreshedVersion="8" background="1" saveData="1">
    <dbPr connection="Provider=Microsoft.Mashup.OleDb.1;Data Source=$Workbook$;Location=&quot;bad debt&quot;;Extended Properties=&quot;&quot;" command="SELECT * FROM [bad debt]"/>
  </connection>
  <connection id="3" xr16:uid="{D12E4836-04FC-4AD1-BB0C-1631CD296F51}" keepAlive="1" name="Query - Contract Services" description="Connection to the 'Contract Services' query in the workbook." type="5" refreshedVersion="8" background="1" saveData="1">
    <dbPr connection="Provider=Microsoft.Mashup.OleDb.1;Data Source=$Workbook$;Location=&quot;Contract Services&quot;;Extended Properties=&quot;&quot;" command="SELECT * FROM [Contract Services]"/>
  </connection>
  <connection id="4" xr16:uid="{866A39E9-A690-4A06-817A-9E5BD796C03C}" keepAlive="1" name="Query - Date" description="Connection to the 'Date' query in the workbook." type="5" refreshedVersion="0" background="1">
    <dbPr connection="Provider=Microsoft.Mashup.OleDb.1;Data Source=$Workbook$;Location=Date;Extended Properties=&quot;&quot;" command="SELECT * FROM [Date]"/>
  </connection>
  <connection id="5" xr16:uid="{A958BEDF-A9D0-4789-A7BA-4323C81FA82C}" keepAlive="1" name="Query - electric" description="Connection to the 'electric' query in the workbook." type="5" refreshedVersion="8" background="1" saveData="1">
    <dbPr connection="Provider=Microsoft.Mashup.OleDb.1;Data Source=$Workbook$;Location=electric;Extended Properties=&quot;&quot;" command="SELECT * FROM [electric]"/>
  </connection>
  <connection id="6" xr16:uid="{BC6817FC-16F4-430E-946D-4FFA870C8A12}" keepAlive="1" name="Query - Expenese" description="Connection to the 'Expenese' query in the workbook." type="5" refreshedVersion="0" background="1">
    <dbPr connection="Provider=Microsoft.Mashup.OleDb.1;Data Source=$Workbook$;Location=Expenese;Extended Properties=&quot;&quot;" command="SELECT * FROM [Expenese]"/>
  </connection>
  <connection id="7" xr16:uid="{C9AA1637-2691-4C81-80E3-0FF2E5454790}" keepAlive="1" name="Query - Final T-12" description="Connection to the 'Final T-12' query in the workbook." type="5" refreshedVersion="8" background="1" saveData="1">
    <dbPr connection="Provider=Microsoft.Mashup.OleDb.1;Data Source=$Workbook$;Location=&quot;Final T-12&quot;;Extended Properties=&quot;&quot;" command="SELECT * FROM [Final T-12]"/>
  </connection>
  <connection id="8" xr16:uid="{D80BE0D4-9308-4523-8D95-E5C4D4071725}" keepAlive="1" name="Query - gasother" description="Connection to the 'gasother' query in the workbook." type="5" refreshedVersion="8" background="1" saveData="1">
    <dbPr connection="Provider=Microsoft.Mashup.OleDb.1;Data Source=$Workbook$;Location=gasother;Extended Properties=&quot;&quot;" command="SELECT * FROM [gasother]"/>
  </connection>
  <connection id="9" xr16:uid="{B6976424-7CD1-44B4-BEB1-83F639CC64F3}" keepAlive="1" name="Query - Insurance" description="Connection to the 'Insurance' query in the workbook." type="5" refreshedVersion="8" background="1" saveData="1">
    <dbPr connection="Provider=Microsoft.Mashup.OleDb.1;Data Source=$Workbook$;Location=Insurance;Extended Properties=&quot;&quot;" command="SELECT * FROM [Insurance]"/>
  </connection>
  <connection id="10" xr16:uid="{5F8CFE70-AAC4-487A-811F-375F96E467D2}" keepAlive="1" name="Query - loss to lease" description="Connection to the 'loss to lease' query in the workbook." type="5" refreshedVersion="8" background="1" saveData="1">
    <dbPr connection="Provider=Microsoft.Mashup.OleDb.1;Data Source=$Workbook$;Location=&quot;loss to lease&quot;;Extended Properties=&quot;&quot;" command="SELECT * FROM [loss to lease]"/>
  </connection>
  <connection id="11" xr16:uid="{BDE7B473-975B-4552-9AFF-8BD3ED1362DE}" keepAlive="1" name="Query - management fee" description="Connection to the 'management fee' query in the workbook." type="5" refreshedVersion="8" background="1" saveData="1">
    <dbPr connection="Provider=Microsoft.Mashup.OleDb.1;Data Source=$Workbook$;Location=&quot;management fee&quot;;Extended Properties=&quot;&quot;" command="SELECT * FROM [management fee]"/>
  </connection>
  <connection id="12" xr16:uid="{8BD8A37B-0D7F-4C96-AA09-BECB80D26306}" keepAlive="1" name="Query - Marketing" description="Connection to the 'Marketing' query in the workbook." type="5" refreshedVersion="8" background="1" saveData="1">
    <dbPr connection="Provider=Microsoft.Mashup.OleDb.1;Data Source=$Workbook$;Location=Marketing;Extended Properties=&quot;&quot;" command="SELECT * FROM [Marketing]"/>
  </connection>
  <connection id="13" xr16:uid="{AC61CDB3-21DB-408E-A774-05E2EFDB8CE5}" keepAlive="1" name="Query - masterkeytable" description="Connection to the 'masterkeytable' query in the workbook." type="5" refreshedVersion="8" background="1" saveData="1">
    <dbPr connection="Provider=Microsoft.Mashup.OleDb.1;Data Source=$Workbook$;Location=masterkeytable;Extended Properties=&quot;&quot;" command="SELECT * FROM [masterkeytable]"/>
  </connection>
  <connection id="14" xr16:uid="{219E8A3D-65F5-420B-8A75-E81A634ED2DC}" keepAlive="1" name="Query - Net Operating Income" description="Connection to the 'Net Operating Income' query in the workbook." type="5" refreshedVersion="8" background="1" saveData="1">
    <dbPr connection="Provider=Microsoft.Mashup.OleDb.1;Data Source=$Workbook$;Location=&quot;Net Operating Income&quot;;Extended Properties=&quot;&quot;" command="SELECT * FROM [Net Operating Income]"/>
  </connection>
  <connection id="15" xr16:uid="{E92C9E06-8361-4695-A1B6-B1227D5877CE}" keepAlive="1" name="Query - non-revenue" description="Connection to the 'non-revenue' query in the workbook." type="5" refreshedVersion="8" background="1" saveData="1">
    <dbPr connection="Provider=Microsoft.Mashup.OleDb.1;Data Source=$Workbook$;Location=non-revenue;Extended Properties=&quot;&quot;" command="SELECT * FROM [non-revenue]"/>
  </connection>
  <connection id="16" xr16:uid="{04982F1B-8EC1-4E9F-8441-10EFAB432936}" keepAlive="1" name="Query - nullvalues" description="Connection to the 'nullvalues' query in the workbook." type="5" refreshedVersion="8" background="1" saveData="1">
    <dbPr connection="Provider=Microsoft.Mashup.OleDb.1;Data Source=$Workbook$;Location=nullvalues;Extended Properties=&quot;&quot;" command="SELECT * FROM [nullvalues]"/>
  </connection>
  <connection id="17" xr16:uid="{D1C4AB9C-1DC4-4389-9BAE-F558F61746EC}" keepAlive="1" name="Query - other income" description="Connection to the 'other income' query in the workbook." type="5" refreshedVersion="8" background="1" saveData="1">
    <dbPr connection="Provider=Microsoft.Mashup.OleDb.1;Data Source=$Workbook$;Location=&quot;other income&quot;;Extended Properties=&quot;&quot;" command="SELECT * FROM [other income]"/>
  </connection>
  <connection id="18" xr16:uid="{D7DA940D-CF36-4071-B5F4-AEAD5C57CC73}" keepAlive="1" name="Query - Payroll" description="Connection to the 'Payroll' query in the workbook." type="5" refreshedVersion="8" background="1" saveData="1">
    <dbPr connection="Provider=Microsoft.Mashup.OleDb.1;Data Source=$Workbook$;Location=Payroll;Extended Properties=&quot;&quot;" command="SELECT * FROM [Payroll]"/>
  </connection>
  <connection id="19" xr16:uid="{49F9D3BF-1D93-4667-BFD1-1F5F2FD5C993}" keepAlive="1" name="Query - Real estate tax" description="Connection to the 'Real estate tax' query in the workbook." type="5" refreshedVersion="8" background="1" saveData="1">
    <dbPr connection="Provider=Microsoft.Mashup.OleDb.1;Data Source=$Workbook$;Location=&quot;Real estate tax&quot;;Extended Properties=&quot;&quot;" command="SELECT * FROM [Real estate tax]"/>
  </connection>
  <connection id="20" xr16:uid="{2951E3C4-1555-4CE7-BB49-3D85236AB326}" keepAlive="1" name="Query - Rental Income" description="Connection to the 'Rental Income' query in the workbook." type="5" refreshedVersion="8" background="1" saveData="1">
    <dbPr connection="Provider=Microsoft.Mashup.OleDb.1;Data Source=$Workbook$;Location=&quot;Rental Income&quot;;Extended Properties=&quot;&quot;" command="SELECT * FROM [Rental Income]"/>
  </connection>
  <connection id="21" xr16:uid="{3973C3C0-43B5-4B83-81BA-53AE030369C1}" keepAlive="1" name="Query - Repairs &amp; Maint" description="Connection to the 'Repairs &amp; Maint' query in the workbook." type="5" refreshedVersion="8" background="1" saveData="1">
    <dbPr connection="Provider=Microsoft.Mashup.OleDb.1;Data Source=$Workbook$;Location=&quot;Repairs &amp; Maint&quot;;Extended Properties=&quot;&quot;" command="SELECT * FROM [Repairs &amp; Maint]"/>
  </connection>
  <connection id="22" xr16:uid="{D4A13DDD-9AAC-4013-B53E-12318DB457DB}" keepAlive="1" name="Query - rubs electric" description="Connection to the 'rubs electric' query in the workbook." type="5" refreshedVersion="8" background="1" saveData="1">
    <dbPr connection="Provider=Microsoft.Mashup.OleDb.1;Data Source=$Workbook$;Location=&quot;rubs electric&quot;;Extended Properties=&quot;&quot;" command="SELECT * FROM [rubs electric]"/>
  </connection>
  <connection id="23" xr16:uid="{96349F0C-298D-4D23-B7A4-23DC0F1D0A62}" keepAlive="1" name="Query - rubs water" description="Connection to the 'rubs water' query in the workbook." type="5" refreshedVersion="8" background="1" saveData="1">
    <dbPr connection="Provider=Microsoft.Mashup.OleDb.1;Data Source=$Workbook$;Location=&quot;rubs water&quot;;Extended Properties=&quot;&quot;" command="SELECT * FROM [rubs water]"/>
  </connection>
  <connection id="24" xr16:uid="{3B3B6FAF-85B8-4698-97F8-0B3A00F1D50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5" xr16:uid="{2E701A20-3A8E-41C8-A551-D080ED90FBA6}" keepAlive="1" name="Query - Total Expense" description="Connection to the 'Total Expense' query in the workbook." type="5" refreshedVersion="8" background="1" saveData="1">
    <dbPr connection="Provider=Microsoft.Mashup.OleDb.1;Data Source=$Workbook$;Location=&quot;Total Expense&quot;;Extended Properties=&quot;&quot;" command="SELECT * FROM [Total Expense]"/>
  </connection>
  <connection id="26" xr16:uid="{ABE088F6-32C7-428B-83E2-91D4109BC4ED}" keepAlive="1" name="Query - Total Revenue" description="Connection to the 'Total Revenue' query in the workbook." type="5" refreshedVersion="8" background="1" saveData="1">
    <dbPr connection="Provider=Microsoft.Mashup.OleDb.1;Data Source=$Workbook$;Location=&quot;Total Revenue&quot;;Extended Properties=&quot;&quot;" command="SELECT * FROM [Total Revenue]"/>
  </connection>
  <connection id="27" xr16:uid="{53C6DE13-3C17-4445-A45F-9EFE04FB7CAD}" keepAlive="1" name="Query - Trailing 12 Month Statement" description="Connection to the 'Trailing 12 Month Statement' query in the workbook." type="5" refreshedVersion="8" background="1" saveData="1">
    <dbPr connection="Provider=Microsoft.Mashup.OleDb.1;Data Source=$Workbook$;Location=&quot;Trailing 12 Month Statement&quot;;Extended Properties=&quot;&quot;" command="SELECT * FROM [Trailing 12 Month Statement]"/>
  </connection>
  <connection id="28" xr16:uid="{CCC99E17-C8C0-43C0-B2D1-EDB9D2FF2C2D}" keepAlive="1" name="Query - trash" description="Connection to the 'trash' query in the workbook." type="5" refreshedVersion="8" background="1" saveData="1">
    <dbPr connection="Provider=Microsoft.Mashup.OleDb.1;Data Source=$Workbook$;Location=trash;Extended Properties=&quot;&quot;" command="SELECT * FROM [trash]"/>
  </connection>
  <connection id="29" xr16:uid="{7BB38CD1-7393-4AB6-9C05-6FFCEBD8F02A}" keepAlive="1" name="Query - vacancy" description="Connection to the 'vacancy' query in the workbook." type="5" refreshedVersion="8" background="1" saveData="1">
    <dbPr connection="Provider=Microsoft.Mashup.OleDb.1;Data Source=$Workbook$;Location=vacancy;Extended Properties=&quot;&quot;" command="SELECT * FROM [vacancy]"/>
  </connection>
  <connection id="30" xr16:uid="{880BB881-C180-49EE-9DCA-AD0FBFEB46CD}" keepAlive="1" name="Query - water/sewer exp" description="Connection to the 'water/sewer exp' query in the workbook." type="5" refreshedVersion="8" background="1" saveData="1">
    <dbPr connection="Provider=Microsoft.Mashup.OleDb.1;Data Source=$Workbook$;Location=&quot;water/sewer exp&quot;;Extended Properties=&quot;&quot;" command="SELECT * FROM [water/sewer ex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<sst xmlns="http://schemas.openxmlformats.org/spreadsheetml/2006/main" count="2196" uniqueCount="209">
  <si>
    <t>Trailing 12 Month Income/Expense</t>
  </si>
  <si>
    <t>Income</t>
  </si>
  <si>
    <t>r</t>
  </si>
  <si>
    <t>Rental Income</t>
  </si>
  <si>
    <t>ll</t>
  </si>
  <si>
    <t>(Loss to Lease) / Gain to Lease</t>
  </si>
  <si>
    <t>v</t>
  </si>
  <si>
    <t>Vacancy</t>
  </si>
  <si>
    <t>nr</t>
  </si>
  <si>
    <t>Non-Revenue/Concessions</t>
  </si>
  <si>
    <t>bd</t>
  </si>
  <si>
    <t>Bad Debt</t>
  </si>
  <si>
    <t>rw</t>
  </si>
  <si>
    <t>RUBS - Water/Sewer</t>
  </si>
  <si>
    <t>ro</t>
  </si>
  <si>
    <t>RUBS - Electric/Gas/Other</t>
  </si>
  <si>
    <t>oi</t>
  </si>
  <si>
    <t>Other Income</t>
  </si>
  <si>
    <t>rev</t>
  </si>
  <si>
    <t>Total Income</t>
  </si>
  <si>
    <t>Expense</t>
  </si>
  <si>
    <t>cs</t>
  </si>
  <si>
    <t>Contract Services</t>
  </si>
  <si>
    <t>rm</t>
  </si>
  <si>
    <t>Repair &amp; Maintenance</t>
  </si>
  <si>
    <t>ad</t>
  </si>
  <si>
    <t>Administrative</t>
  </si>
  <si>
    <t>m</t>
  </si>
  <si>
    <t>Marketing</t>
  </si>
  <si>
    <t>pr</t>
  </si>
  <si>
    <t>Payroll</t>
  </si>
  <si>
    <t>w</t>
  </si>
  <si>
    <t>Water/Sewer</t>
  </si>
  <si>
    <t>tr</t>
  </si>
  <si>
    <t>Trash</t>
  </si>
  <si>
    <t>e</t>
  </si>
  <si>
    <t>Electric</t>
  </si>
  <si>
    <t>o</t>
  </si>
  <si>
    <t>Gas/Other</t>
  </si>
  <si>
    <t>mf</t>
  </si>
  <si>
    <t>Management Fee</t>
  </si>
  <si>
    <t>i</t>
  </si>
  <si>
    <t>Insurance</t>
  </si>
  <si>
    <t>tx</t>
  </si>
  <si>
    <t>Real Estate Taxes</t>
  </si>
  <si>
    <t>exp</t>
  </si>
  <si>
    <t>Total Expense</t>
  </si>
  <si>
    <t>noi</t>
  </si>
  <si>
    <t>Net Operating Income</t>
  </si>
  <si>
    <t>code</t>
  </si>
  <si>
    <t>category</t>
  </si>
  <si>
    <t>date1</t>
  </si>
  <si>
    <t>date2</t>
  </si>
  <si>
    <t>date3</t>
  </si>
  <si>
    <t>date4</t>
  </si>
  <si>
    <t>date5</t>
  </si>
  <si>
    <t>date6</t>
  </si>
  <si>
    <t>date7</t>
  </si>
  <si>
    <t>date8</t>
  </si>
  <si>
    <t>date9</t>
  </si>
  <si>
    <t>date10</t>
  </si>
  <si>
    <t>date11</t>
  </si>
  <si>
    <t>date12</t>
  </si>
  <si>
    <t>total</t>
  </si>
  <si>
    <t/>
  </si>
  <si>
    <t>&lt;-- paste data into here</t>
  </si>
  <si>
    <t>date</t>
  </si>
  <si>
    <t>Monthly</t>
  </si>
  <si>
    <t>Total Revenue Check</t>
  </si>
  <si>
    <t>should be 0</t>
  </si>
  <si>
    <t>Expense Check</t>
  </si>
  <si>
    <t>NOI Check</t>
  </si>
  <si>
    <t>rt</t>
  </si>
  <si>
    <t>Codes</t>
  </si>
  <si>
    <t>rents</t>
  </si>
  <si>
    <t>loss to lease</t>
  </si>
  <si>
    <t>vacancy</t>
  </si>
  <si>
    <t>bad debt</t>
  </si>
  <si>
    <t>rubs water</t>
  </si>
  <si>
    <t>non-revenue/concessions</t>
  </si>
  <si>
    <t>rubs trash</t>
  </si>
  <si>
    <t>rubs other</t>
  </si>
  <si>
    <t>other income</t>
  </si>
  <si>
    <t>revenue</t>
  </si>
  <si>
    <t>contract services</t>
  </si>
  <si>
    <t>repairs and maintenance</t>
  </si>
  <si>
    <t>admin</t>
  </si>
  <si>
    <t>marketing</t>
  </si>
  <si>
    <t>payroll</t>
  </si>
  <si>
    <t>water</t>
  </si>
  <si>
    <t>electric</t>
  </si>
  <si>
    <t>gas/other utilities</t>
  </si>
  <si>
    <t>trash</t>
  </si>
  <si>
    <t>management fee</t>
  </si>
  <si>
    <t>taxes</t>
  </si>
  <si>
    <t>insurance</t>
  </si>
  <si>
    <t>total expense</t>
  </si>
  <si>
    <t>net operating income</t>
  </si>
  <si>
    <t>Account</t>
  </si>
  <si>
    <t>Total Revenue</t>
  </si>
  <si>
    <t>Turnover Costs</t>
  </si>
  <si>
    <t>Utilities</t>
  </si>
  <si>
    <t>5800100   Electricity</t>
  </si>
  <si>
    <t>5800101   Electricity - Vacant</t>
  </si>
  <si>
    <t>5800300   Water</t>
  </si>
  <si>
    <t>5800400   Trash Removal</t>
  </si>
  <si>
    <t>5800401   Valet Trash</t>
  </si>
  <si>
    <t>5800500   Telephone</t>
  </si>
  <si>
    <t>Total Utilities</t>
  </si>
  <si>
    <t>Management Fees</t>
  </si>
  <si>
    <t>5900100   Management Fees</t>
  </si>
  <si>
    <t>Total Management Fees</t>
  </si>
  <si>
    <t>Taxes</t>
  </si>
  <si>
    <t>6200100   Property Taxes</t>
  </si>
  <si>
    <t>Total Taxes</t>
  </si>
  <si>
    <t>Non-Capital Other Expense</t>
  </si>
  <si>
    <t>Total Operating Expense</t>
  </si>
  <si>
    <t>Total Net Operating Income</t>
  </si>
  <si>
    <t>Harvest Moon</t>
  </si>
  <si>
    <t>Total</t>
  </si>
  <si>
    <t>Revenue</t>
  </si>
  <si>
    <t>Gross Potential Rent</t>
  </si>
  <si>
    <t>4100100   Apartment Income</t>
  </si>
  <si>
    <t>4100101   Gain/Loss to Lease</t>
  </si>
  <si>
    <t>Total Potential Rent</t>
  </si>
  <si>
    <t>Apartment Rental Adjustments</t>
  </si>
  <si>
    <t>4100106   Vacancy Loss</t>
  </si>
  <si>
    <t>4100107   Concessions</t>
  </si>
  <si>
    <t>4100112   Net Prepaids</t>
  </si>
  <si>
    <t>4100113   Net Delinquency</t>
  </si>
  <si>
    <t>Total Apartment Rental Adjustments</t>
  </si>
  <si>
    <t>Total Rental Income</t>
  </si>
  <si>
    <t>4100200   Month to Month</t>
  </si>
  <si>
    <t>4100600   Cleaning fee/Damage Fee</t>
  </si>
  <si>
    <t>4100700   Carport Parking</t>
  </si>
  <si>
    <t>4100800   Pet Fee</t>
  </si>
  <si>
    <t>4100900   Deposit Forfeiture</t>
  </si>
  <si>
    <t>4101100   Late Charges</t>
  </si>
  <si>
    <t>4101200   NSF Charges</t>
  </si>
  <si>
    <t>4101400   Application Fees</t>
  </si>
  <si>
    <t>4101500   Washer/Dryer Income</t>
  </si>
  <si>
    <t>4101600   Administrative Fee</t>
  </si>
  <si>
    <t>4101800   Water Reimbursement</t>
  </si>
  <si>
    <t>4101830   Trash Reimbursement</t>
  </si>
  <si>
    <t>4101835   Valet Trash Reimbursement</t>
  </si>
  <si>
    <t>4101850   Pest Control Income</t>
  </si>
  <si>
    <t>4101860   Utility Income-RUBS</t>
  </si>
  <si>
    <t>4101900   Reletting Fees</t>
  </si>
  <si>
    <t>Total Other Income</t>
  </si>
  <si>
    <t>Operating Expenses</t>
  </si>
  <si>
    <t>Payroll and Benefits</t>
  </si>
  <si>
    <t>5100100   Managers and Assistants</t>
  </si>
  <si>
    <t>5100200   Leasing</t>
  </si>
  <si>
    <t>5100600   General Maintenance Salaries</t>
  </si>
  <si>
    <t>5100900   Incentives</t>
  </si>
  <si>
    <t>5280000   Payroll Taxes</t>
  </si>
  <si>
    <t>5280100   Workers Compensation</t>
  </si>
  <si>
    <t>Total Payroll and Benefits</t>
  </si>
  <si>
    <t>Administrative Expenses</t>
  </si>
  <si>
    <t>5400100   Office Supplies/General</t>
  </si>
  <si>
    <t>5400200   Postage</t>
  </si>
  <si>
    <t>5400900   Auto and Travel</t>
  </si>
  <si>
    <t>5401000   Dues and Subscription</t>
  </si>
  <si>
    <t>5401200   Application Screening</t>
  </si>
  <si>
    <t>5401300   Legal and Professional</t>
  </si>
  <si>
    <t>5401400   Evictions</t>
  </si>
  <si>
    <t>5401700   Computer Fees/Permits</t>
  </si>
  <si>
    <t>5401900   Bank Charges</t>
  </si>
  <si>
    <t>5402000   Employee Relations</t>
  </si>
  <si>
    <t>Total Administrative Expenses</t>
  </si>
  <si>
    <t>5500200   Equipment Rental and Expense</t>
  </si>
  <si>
    <t>5500300   Landscaping</t>
  </si>
  <si>
    <t>5500350   Landscaping Seasonal</t>
  </si>
  <si>
    <t>5500700   Pest Control</t>
  </si>
  <si>
    <t>5500800   Alarm Monitoring</t>
  </si>
  <si>
    <t>5500900   Washer/Dryer Expense</t>
  </si>
  <si>
    <t>Total Contract Services</t>
  </si>
  <si>
    <t>5600200   Advertising Media</t>
  </si>
  <si>
    <t>5600500   Mini Model</t>
  </si>
  <si>
    <t>5600900   Signs and Banners</t>
  </si>
  <si>
    <t>5610400   Resident Relations</t>
  </si>
  <si>
    <t>5610600   Marketing Materials</t>
  </si>
  <si>
    <t>Total Marketing</t>
  </si>
  <si>
    <t>Maintenance and Repairs</t>
  </si>
  <si>
    <t>5700100   Carpentry</t>
  </si>
  <si>
    <t>5700200   Paint Contract</t>
  </si>
  <si>
    <t>5700500   Small Tools</t>
  </si>
  <si>
    <t>5700700   Electrical Parts and Labor</t>
  </si>
  <si>
    <t>5700900   Air Conditioning and Heat</t>
  </si>
  <si>
    <t>5701000   Pool Supplies and Repairs</t>
  </si>
  <si>
    <t>5701200   Landscaping Supplies</t>
  </si>
  <si>
    <t>5701300   Plumbing Labor and Parts</t>
  </si>
  <si>
    <t>5701700   Driveway and Sidewalk Repairs</t>
  </si>
  <si>
    <t>5701800   Appliance</t>
  </si>
  <si>
    <t>5701900   Mini-blinds</t>
  </si>
  <si>
    <t>5702100   Safety Equipment</t>
  </si>
  <si>
    <t>5702300   Building Maintenance and Supplies</t>
  </si>
  <si>
    <t>5702400   Light Bulbs and Accessories</t>
  </si>
  <si>
    <t>5702500   Locks and Keys</t>
  </si>
  <si>
    <t>5702600   Janitorial Service and Supplies</t>
  </si>
  <si>
    <t>5702800   Paint-Purchase only</t>
  </si>
  <si>
    <t>5709901   Vendor Rebate</t>
  </si>
  <si>
    <t>Total Maintenance and Repairs</t>
  </si>
  <si>
    <t>4109000   Amenity Fee</t>
  </si>
  <si>
    <t>5701100   General Supplies</t>
  </si>
  <si>
    <t>5701600   Glass and Mirror</t>
  </si>
  <si>
    <t>4100105   Model Units</t>
  </si>
  <si>
    <t>6300100   Insurance</t>
  </si>
  <si>
    <t>Total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</si>
</sst>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$-809]0.00"/>
    <numFmt numFmtId="165" formatCode="[$$-809]0.0"/>
    <numFmt numFmtId="166" formatCode="&quot;&quot;"/>
    <numFmt numFmtId="167" formatCode="_(* #,##0_);_(* \(#,##0\);_(* &quot;-&quot;??_);_(@_)"/>
  </numFmts>
  <fonts count="14" x14ac:knownFonts="1">
    <font>
      <sz val="10"/>
      <name val="Arial"/>
      <family val="2"/>
    </font>
    <font>
      <b/>
      <sz val="11"/>
      <name val="Calibri"/>
      <family val="2"/>
    </font>
    <font>
      <i/>
      <sz val="11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 Bold"/>
    </font>
    <font>
      <sz val="9"/>
      <color rgb="FF000000"/>
      <name val="Calibri"/>
      <family val="2"/>
    </font>
    <font>
      <sz val="13"/>
      <color rgb="FF000000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17" fontId="1" fillId="0" borderId="1" xfId="0" applyNumberFormat="1" applyFont="1" applyBorder="1" applyAlignment="1">
      <alignment horizontal="right"/>
    </xf>
    <xf numFmtId="17" fontId="2" fillId="0" borderId="2" xfId="0" applyNumberFormat="1" applyFont="1" applyBorder="1" applyAlignment="1">
      <alignment horizontal="right"/>
    </xf>
    <xf numFmtId="17" fontId="6" fillId="0" borderId="2" xfId="0" applyNumberFormat="1" applyFont="1" applyBorder="1" applyAlignment="1">
      <alignment horizontal="right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49" fontId="9" fillId="0" borderId="0" xfId="0" applyNumberFormat="1" applyFont="1"/>
    <xf numFmtId="49" fontId="10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164" fontId="9" fillId="0" borderId="0" xfId="0" applyNumberFormat="1" applyFont="1"/>
    <xf numFmtId="165" fontId="9" fillId="0" borderId="0" xfId="0" applyNumberFormat="1" applyFont="1"/>
    <xf numFmtId="1" fontId="11" fillId="0" borderId="0" xfId="0" applyNumberFormat="1" applyFont="1"/>
    <xf numFmtId="0" fontId="12" fillId="3" borderId="5" xfId="0" applyFont="1" applyFill="1" applyBorder="1"/>
    <xf numFmtId="0" fontId="12" fillId="3" borderId="6" xfId="0" applyFont="1" applyFill="1" applyBorder="1"/>
    <xf numFmtId="0" fontId="12" fillId="3" borderId="7" xfId="0" applyFont="1" applyFill="1" applyBorder="1"/>
    <xf numFmtId="0" fontId="0" fillId="4" borderId="0" xfId="0" applyFill="1"/>
    <xf numFmtId="4" fontId="0" fillId="0" borderId="0" xfId="0" applyNumberFormat="1"/>
    <xf numFmtId="166" fontId="7" fillId="0" borderId="0" xfId="0" applyNumberFormat="1" applyFont="1"/>
    <xf numFmtId="166" fontId="2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43" fontId="7" fillId="0" borderId="0" xfId="0" applyNumberFormat="1" applyFont="1"/>
    <xf numFmtId="43" fontId="8" fillId="0" borderId="0" xfId="0" applyNumberFormat="1" applyFont="1"/>
    <xf numFmtId="43" fontId="0" fillId="0" borderId="0" xfId="0" applyNumberFormat="1"/>
    <xf numFmtId="43" fontId="5" fillId="0" borderId="0" xfId="0" applyNumberFormat="1" applyFont="1"/>
    <xf numFmtId="167" fontId="7" fillId="0" borderId="0" xfId="0" applyNumberFormat="1" applyFont="1"/>
    <xf numFmtId="167" fontId="8" fillId="0" borderId="0" xfId="0" applyNumberFormat="1" applyFont="1"/>
    <xf numFmtId="14" fontId="9" fillId="0" borderId="0" xfId="0" applyNumberFormat="1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</dxf>
    <dxf>
      <font>
        <b/>
        <i val="0"/>
      </font>
      <border>
        <left/>
        <right/>
        <top style="thin">
          <color auto="1"/>
        </top>
        <bottom/>
        <vertical/>
        <horizontal/>
      </border>
    </dxf>
    <dxf>
      <font>
        <b/>
        <i val="0"/>
      </font>
      <border>
        <left/>
        <right/>
        <top style="thin">
          <color auto="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409D6385-CB93-475C-A2E3-83B0850EFB1C}" autoFormatId="16" applyNumberFormats="0" applyBorderFormats="0" applyFontFormats="0" applyPatternFormats="0" applyAlignmentFormats="0" applyWidthHeightFormats="0">
  <queryTableRefresh nextId="16">
    <queryTableFields count="15">
      <queryTableField id="1" name="code" tableColumnId="1"/>
      <queryTableField id="2" name="category" tableColumnId="2"/>
      <queryTableField id="3" name="date1" tableColumnId="3"/>
      <queryTableField id="4" name="date2" tableColumnId="4"/>
      <queryTableField id="5" name="date3" tableColumnId="5"/>
      <queryTableField id="6" name="date4" tableColumnId="6"/>
      <queryTableField id="7" name="date5" tableColumnId="7"/>
      <queryTableField id="8" name="date6" tableColumnId="8"/>
      <queryTableField id="9" name="date7" tableColumnId="9"/>
      <queryTableField id="10" name="date8" tableColumnId="10"/>
      <queryTableField id="11" name="date9" tableColumnId="11"/>
      <queryTableField id="12" name="date10" tableColumnId="12"/>
      <queryTableField id="13" name="date11" tableColumnId="13"/>
      <queryTableField id="14" name="date12" tableColumnId="14"/>
      <queryTableField id="15" name="total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7" xr16:uid="{CEF84761-BDB5-4E0A-9D3B-4FAAF5A09C6D}" autoFormatId="16" applyNumberFormats="0" applyBorderFormats="0" applyFontFormats="0" applyPatternFormats="0" applyAlignmentFormats="0" applyWidthHeightFormats="0">
  <queryTableRefresh nextId="82">
    <queryTableFields count="15">
      <queryTableField id="67" name="code" tableColumnId="64"/>
      <queryTableField id="68" name="category" tableColumnId="65"/>
      <queryTableField id="69" name="date1" tableColumnId="66"/>
      <queryTableField id="70" name="date2" tableColumnId="67"/>
      <queryTableField id="71" name="date3" tableColumnId="68"/>
      <queryTableField id="72" name="date4" tableColumnId="69"/>
      <queryTableField id="73" name="date5" tableColumnId="70"/>
      <queryTableField id="74" name="date6" tableColumnId="71"/>
      <queryTableField id="75" name="date7" tableColumnId="72"/>
      <queryTableField id="76" name="date8" tableColumnId="73"/>
      <queryTableField id="77" name="date9" tableColumnId="74"/>
      <queryTableField id="78" name="date10" tableColumnId="75"/>
      <queryTableField id="79" name="date11" tableColumnId="76"/>
      <queryTableField id="80" name="date12" tableColumnId="77"/>
      <queryTableField id="81" name="total" tableColumnId="7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7" xr16:uid="{7E44A4DA-B3DE-40AB-BB96-19FFB5365C7C}" autoFormatId="16" applyNumberFormats="0" applyBorderFormats="0" applyFontFormats="0" applyPatternFormats="0" applyAlignmentFormats="0" applyWidthHeightFormats="0">
  <queryTableRefresh nextId="16">
    <queryTableFields count="15">
      <queryTableField id="1" name="code" tableColumnId="1"/>
      <queryTableField id="2" name="category" tableColumnId="2"/>
      <queryTableField id="3" name="date1" tableColumnId="3"/>
      <queryTableField id="4" name="date2" tableColumnId="4"/>
      <queryTableField id="5" name="date3" tableColumnId="5"/>
      <queryTableField id="6" name="date4" tableColumnId="6"/>
      <queryTableField id="7" name="date5" tableColumnId="7"/>
      <queryTableField id="8" name="date6" tableColumnId="8"/>
      <queryTableField id="9" name="date7" tableColumnId="9"/>
      <queryTableField id="10" name="date8" tableColumnId="10"/>
      <queryTableField id="11" name="date9" tableColumnId="11"/>
      <queryTableField id="12" name="date10" tableColumnId="12"/>
      <queryTableField id="13" name="date11" tableColumnId="13"/>
      <queryTableField id="14" name="date12" tableColumnId="14"/>
      <queryTableField id="15" name="total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7E05725-7BE1-4C44-AABA-3B046B26FEC7}" autoFormatId="16" applyNumberFormats="0" applyBorderFormats="0" applyFontFormats="0" applyPatternFormats="0" applyAlignmentFormats="0" applyWidthHeightFormats="0">
  <queryTableRefresh nextId="16">
    <queryTableFields count="15">
      <queryTableField id="1" name="code" tableColumnId="1"/>
      <queryTableField id="2" name="category" tableColumnId="2"/>
      <queryTableField id="3" name="date1" tableColumnId="3"/>
      <queryTableField id="4" name="date2" tableColumnId="4"/>
      <queryTableField id="5" name="date3" tableColumnId="5"/>
      <queryTableField id="6" name="date4" tableColumnId="6"/>
      <queryTableField id="7" name="date5" tableColumnId="7"/>
      <queryTableField id="8" name="date6" tableColumnId="8"/>
      <queryTableField id="9" name="date7" tableColumnId="9"/>
      <queryTableField id="10" name="date8" tableColumnId="10"/>
      <queryTableField id="11" name="date9" tableColumnId="11"/>
      <queryTableField id="12" name="date10" tableColumnId="12"/>
      <queryTableField id="13" name="date11" tableColumnId="13"/>
      <queryTableField id="14" name="date12" tableColumnId="14"/>
      <queryTableField id="15" name="total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EE124-A24C-446E-91BD-5D221C9A32EE}" name="Table1" displayName="Table1" ref="A4:O2003" totalsRowShown="0">
  <autoFilter ref="A4:O2003" xr:uid="{FEFEE124-A24C-446E-91BD-5D221C9A32EE}"/>
  <tableColumns count="15">
    <tableColumn id="1" xr3:uid="{DECCBE7A-8A87-4FAD-ABC1-A3482F1C0EE4}" name="code" dataDxfId="11"/>
    <tableColumn id="2" xr3:uid="{A0F95B88-BE4C-4DCD-9142-9D3EDC08937D}" name="category"/>
    <tableColumn id="3" xr3:uid="{9C5B27F1-839E-4374-AB7E-DC86AF61B9D1}" name="date1"/>
    <tableColumn id="4" xr3:uid="{0213D827-98FD-4305-A3D1-DE3FB42A7BA4}" name="date2"/>
    <tableColumn id="5" xr3:uid="{0B39B0E1-5EB2-4A95-83F7-456537450FF2}" name="date3"/>
    <tableColumn id="6" xr3:uid="{121E24BB-B4EA-41BD-A1C9-E0F84F6F66A3}" name="date4"/>
    <tableColumn id="7" xr3:uid="{4B3A896F-0887-485D-A143-2E91CA65D494}" name="date5"/>
    <tableColumn id="8" xr3:uid="{E3E7F1AE-ACB1-4A40-B0DA-56ABFEA23F2F}" name="date6"/>
    <tableColumn id="9" xr3:uid="{09480358-E2B5-4235-853E-5824ED313F3F}" name="date7"/>
    <tableColumn id="10" xr3:uid="{1728C827-34D9-4799-8FB5-3129DDA5B8CE}" name="date8"/>
    <tableColumn id="11" xr3:uid="{1E63DB39-F005-43B9-8E11-AD7A1942784E}" name="date9"/>
    <tableColumn id="12" xr3:uid="{9D79B488-D8F8-4FFA-8C10-8A335C096CC8}" name="date10"/>
    <tableColumn id="13" xr3:uid="{9CD2E89A-DC40-4E72-A0ED-4C243830D808}" name="date11"/>
    <tableColumn id="14" xr3:uid="{88FB877C-370F-4571-84F8-EAE0EF84850E}" name="date12"/>
    <tableColumn id="15" xr3:uid="{7A4ED15E-FC0B-4625-8873-537279316A66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320A36-5571-4396-ACAC-8DC5D4B22C97}" name="masterkeytable_1" displayName="masterkeytable_1" ref="A1:O52" tableType="queryTable" totalsRowShown="0">
  <autoFilter ref="A1:O52" xr:uid="{7C320A36-5571-4396-ACAC-8DC5D4B22C97}"/>
  <tableColumns count="15">
    <tableColumn id="1" xr3:uid="{055F0BF5-FE8B-4258-B936-8A7938A8E0AE}" uniqueName="1" name="code" queryTableFieldId="1" dataDxfId="10"/>
    <tableColumn id="2" xr3:uid="{C1DF5E99-79EA-48F5-B88E-BE3C67C9D9A3}" uniqueName="2" name="category" queryTableFieldId="2" dataDxfId="9"/>
    <tableColumn id="3" xr3:uid="{0D91393E-10D2-4F54-ACDB-A6DE486E2656}" uniqueName="3" name="date1" queryTableFieldId="3"/>
    <tableColumn id="4" xr3:uid="{5AE09C0C-72D8-4965-A0BD-4B800C3660A7}" uniqueName="4" name="date2" queryTableFieldId="4"/>
    <tableColumn id="5" xr3:uid="{582EA642-8D6B-463A-8AC1-C23EE45EF594}" uniqueName="5" name="date3" queryTableFieldId="5"/>
    <tableColumn id="6" xr3:uid="{818D0177-DAC6-4997-BF32-1C34152B3A34}" uniqueName="6" name="date4" queryTableFieldId="6"/>
    <tableColumn id="7" xr3:uid="{53D3108E-140F-4A3E-96EA-689CC7B773CF}" uniqueName="7" name="date5" queryTableFieldId="7"/>
    <tableColumn id="8" xr3:uid="{40B1EFC1-6937-4808-8DAA-83285DAADB3C}" uniqueName="8" name="date6" queryTableFieldId="8"/>
    <tableColumn id="9" xr3:uid="{1373461D-4861-49F3-8104-E89BAEDD7657}" uniqueName="9" name="date7" queryTableFieldId="9"/>
    <tableColumn id="10" xr3:uid="{3D2289E9-FC8A-48EC-A82E-B075DBCF6F9C}" uniqueName="10" name="date8" queryTableFieldId="10"/>
    <tableColumn id="11" xr3:uid="{DF8C1099-E0FA-4D86-B386-148F7198BD46}" uniqueName="11" name="date9" queryTableFieldId="11"/>
    <tableColumn id="12" xr3:uid="{C85FCFF9-AD98-4B45-9590-AD847D9AA55D}" uniqueName="12" name="date10" queryTableFieldId="12"/>
    <tableColumn id="13" xr3:uid="{E27232A0-2F59-492B-A678-195F18E00BDF}" uniqueName="13" name="date11" queryTableFieldId="13"/>
    <tableColumn id="14" xr3:uid="{0E6D1219-B812-42FE-B4C4-CD6885AD6F9A}" uniqueName="14" name="date12" queryTableFieldId="14"/>
    <tableColumn id="15" xr3:uid="{99941CE6-9DF9-4E2F-8F29-F5BDB7415B32}" uniqueName="15" name="total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B8FA1B1-7870-4603-A4B0-3E25C84BC71D}" name="Final_T_12" displayName="Final_T_12" ref="A1:O110" tableType="queryTable" totalsRowShown="0">
  <autoFilter ref="A1:O110" xr:uid="{3B8FA1B1-7870-4603-A4B0-3E25C84BC71D}"/>
  <tableColumns count="15">
    <tableColumn id="64" xr3:uid="{D2B481E7-57C6-441C-83D6-622FBB2B3C8D}" uniqueName="64" name="code" queryTableFieldId="67"/>
    <tableColumn id="65" xr3:uid="{243EAED9-92E6-4495-8AD9-AC461A4AB711}" uniqueName="65" name="category" queryTableFieldId="68"/>
    <tableColumn id="66" xr3:uid="{10FD0C33-1A1A-47BA-9263-22C1F2EE7CCE}" uniqueName="66" name="date1" queryTableFieldId="69"/>
    <tableColumn id="67" xr3:uid="{9A2D5585-B68B-4306-8CA3-7BF580C8DBE5}" uniqueName="67" name="date2" queryTableFieldId="70"/>
    <tableColumn id="68" xr3:uid="{4C0F6B86-3788-422D-917D-287B8049DD95}" uniqueName="68" name="date3" queryTableFieldId="71"/>
    <tableColumn id="69" xr3:uid="{10E0410A-E398-4621-9EB4-D844B728DDC8}" uniqueName="69" name="date4" queryTableFieldId="72"/>
    <tableColumn id="70" xr3:uid="{2D0A7580-9331-4B3A-86EA-78A7D88A5E08}" uniqueName="70" name="date5" queryTableFieldId="73"/>
    <tableColumn id="71" xr3:uid="{B89AF706-9525-465C-9DEB-193B803BE55E}" uniqueName="71" name="date6" queryTableFieldId="74"/>
    <tableColumn id="72" xr3:uid="{1FA4F57E-C788-4D38-BD9D-C8CFC7E04FAE}" uniqueName="72" name="date7" queryTableFieldId="75"/>
    <tableColumn id="73" xr3:uid="{AD24FFC1-F596-4C00-A9C7-E6CB253F328A}" uniqueName="73" name="date8" queryTableFieldId="76"/>
    <tableColumn id="74" xr3:uid="{59BF5A54-0FE1-4C02-ABEB-E999E960B412}" uniqueName="74" name="date9" queryTableFieldId="77"/>
    <tableColumn id="75" xr3:uid="{C51DB818-5D86-4F30-A2A6-9068FDFA97CE}" uniqueName="75" name="date10" queryTableFieldId="78"/>
    <tableColumn id="76" xr3:uid="{38B6D982-B07B-44F0-9E62-A5C86845334A}" uniqueName="76" name="date11" queryTableFieldId="79"/>
    <tableColumn id="77" xr3:uid="{EC52BA10-73EC-489A-89A3-91E089DC069F}" uniqueName="77" name="date12" queryTableFieldId="80"/>
    <tableColumn id="78" xr3:uid="{42A00816-2032-4E41-B5F4-BD498E2C7490}" uniqueName="78" name="total" queryTableFieldId="8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7AAC9297-A8FC-405B-ACEB-1EDD956858FE}" name="Trailing_12_Month_Statement" displayName="Trailing_12_Month_Statement" ref="A1:O109" tableType="queryTable" totalsRowShown="0">
  <autoFilter ref="A1:O109" xr:uid="{7AAC9297-A8FC-405B-ACEB-1EDD956858FE}"/>
  <tableColumns count="15">
    <tableColumn id="1" xr3:uid="{F4B1A432-2BC4-420A-91D3-5517B5EC874B}" uniqueName="1" name="code" queryTableFieldId="1"/>
    <tableColumn id="2" xr3:uid="{47A1E137-E646-4D67-89D3-504E5467567D}" uniqueName="2" name="category" queryTableFieldId="2"/>
    <tableColumn id="3" xr3:uid="{010EB2F9-9B44-4651-A290-EEBC28B21CA8}" uniqueName="3" name="date1" queryTableFieldId="3"/>
    <tableColumn id="4" xr3:uid="{1B3E82B8-A428-4B18-9D54-2F7B901715AA}" uniqueName="4" name="date2" queryTableFieldId="4"/>
    <tableColumn id="5" xr3:uid="{22838E1A-1BB1-4ED7-B2BA-50EABC471AA9}" uniqueName="5" name="date3" queryTableFieldId="5"/>
    <tableColumn id="6" xr3:uid="{1F99059F-7BEA-4BEB-837F-5DAE2ED85CE0}" uniqueName="6" name="date4" queryTableFieldId="6"/>
    <tableColumn id="7" xr3:uid="{0E8937ED-37B7-4321-98D1-F13E176B3C5D}" uniqueName="7" name="date5" queryTableFieldId="7"/>
    <tableColumn id="8" xr3:uid="{3756E0AD-DC03-4D8D-9F3B-74D0E34D3CA2}" uniqueName="8" name="date6" queryTableFieldId="8"/>
    <tableColumn id="9" xr3:uid="{8DA10D5E-7F32-4AB6-9F3F-909CD8A5D7A0}" uniqueName="9" name="date7" queryTableFieldId="9"/>
    <tableColumn id="10" xr3:uid="{AF111992-9294-4950-9232-2BC78671C548}" uniqueName="10" name="date8" queryTableFieldId="10"/>
    <tableColumn id="11" xr3:uid="{4853AD16-3086-465B-B882-25630038293C}" uniqueName="11" name="date9" queryTableFieldId="11"/>
    <tableColumn id="12" xr3:uid="{0BB2D3F9-2101-4B71-BC07-25155E6413C9}" uniqueName="12" name="date10" queryTableFieldId="12"/>
    <tableColumn id="13" xr3:uid="{624DDEBD-699F-4CA3-90BA-FC4CFBA1AFD0}" uniqueName="13" name="date11" queryTableFieldId="13"/>
    <tableColumn id="14" xr3:uid="{15C76B50-A9AF-458D-847C-70C6655229F5}" uniqueName="14" name="date12" queryTableFieldId="14"/>
    <tableColumn id="15" xr3:uid="{A6D4D095-6D40-46D9-B23D-00BAD37169C9}" uniqueName="15" name="total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06CFFEB-F5B2-483A-AFD8-A70735BAF27D}" name="nullvalues" displayName="nullvalues" ref="A1:O2" tableType="queryTable" totalsRowShown="0">
  <autoFilter ref="A1:O2" xr:uid="{C06CFFEB-F5B2-483A-AFD8-A70735BAF27D}"/>
  <tableColumns count="15">
    <tableColumn id="1" xr3:uid="{FC1D2F51-74B8-4C92-963A-8B27CF65571B}" uniqueName="1" name="code" queryTableFieldId="1"/>
    <tableColumn id="2" xr3:uid="{BBB57A53-D532-4738-AFE9-49633496E8D7}" uniqueName="2" name="category" queryTableFieldId="2"/>
    <tableColumn id="3" xr3:uid="{8773D677-F0F9-482E-9AAA-5458E4B9AAC2}" uniqueName="3" name="date1" queryTableFieldId="3"/>
    <tableColumn id="4" xr3:uid="{CA3ECE9B-6703-4F27-84AF-64CE420AC524}" uniqueName="4" name="date2" queryTableFieldId="4"/>
    <tableColumn id="5" xr3:uid="{B594C2B4-FE73-4269-B59E-7F2C0C3C2EDE}" uniqueName="5" name="date3" queryTableFieldId="5"/>
    <tableColumn id="6" xr3:uid="{42F428D1-4854-41C6-8D2B-944C89494B27}" uniqueName="6" name="date4" queryTableFieldId="6"/>
    <tableColumn id="7" xr3:uid="{EF02237E-F495-449E-AC56-8B9FC7F07FE6}" uniqueName="7" name="date5" queryTableFieldId="7"/>
    <tableColumn id="8" xr3:uid="{82D0DF75-070A-4FCE-96AF-FE9254DB20FE}" uniqueName="8" name="date6" queryTableFieldId="8"/>
    <tableColumn id="9" xr3:uid="{E1B482F3-BA96-42B4-94BC-2339578632F6}" uniqueName="9" name="date7" queryTableFieldId="9"/>
    <tableColumn id="10" xr3:uid="{36F07883-47C7-415E-ABA9-81B4F7F08B22}" uniqueName="10" name="date8" queryTableFieldId="10"/>
    <tableColumn id="11" xr3:uid="{E1991F88-78C9-4436-A427-F1878828B899}" uniqueName="11" name="date9" queryTableFieldId="11"/>
    <tableColumn id="12" xr3:uid="{778BC8F2-AE88-4214-9843-6121C1170EDC}" uniqueName="12" name="date10" queryTableFieldId="12"/>
    <tableColumn id="13" xr3:uid="{5DA74B6D-499A-4B04-974D-DABC32AC407A}" uniqueName="13" name="date11" queryTableFieldId="13"/>
    <tableColumn id="14" xr3:uid="{55E7BBC7-66BF-4C61-B62C-D8B05F8036CA}" uniqueName="14" name="date12" queryTableFieldId="14"/>
    <tableColumn id="15" xr3:uid="{FDB92576-2D05-4E78-8134-0552E60F9DF4}" uniqueName="15" name="total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C292822-BAFD-430F-BB80-0E355E9F40B2}" name="Table22" displayName="Table22" ref="A1:O2" insertRow="1" totalsRowShown="0" headerRowDxfId="8" headerRowBorderDxfId="7" tableBorderDxfId="6">
  <autoFilter ref="A1:O2" xr:uid="{AC292822-BAFD-430F-BB80-0E355E9F40B2}"/>
  <tableColumns count="15">
    <tableColumn id="1" xr3:uid="{A6492227-2BAE-472C-A0AE-7A819A1167C1}" name="code"/>
    <tableColumn id="2" xr3:uid="{F8E75989-DA2C-4B77-B934-C194FABAE9F6}" name="category"/>
    <tableColumn id="3" xr3:uid="{CAFC506D-E856-4C1F-97B0-13BA3C27BA55}" name="date1"/>
    <tableColumn id="4" xr3:uid="{0A6B7968-305A-42FA-BACC-EB91469BD4D4}" name="date2"/>
    <tableColumn id="5" xr3:uid="{D45FF705-8AA8-4B32-843D-C0819D6F8650}" name="date3"/>
    <tableColumn id="6" xr3:uid="{E7978367-BEAC-4E40-9D76-475CC8C419C8}" name="date4"/>
    <tableColumn id="7" xr3:uid="{B54E5361-BF9A-4930-A01B-EEEAC21D4D6D}" name="date5"/>
    <tableColumn id="8" xr3:uid="{B7208CF6-2951-47F8-B32F-93AC7C67A92A}" name="date6"/>
    <tableColumn id="9" xr3:uid="{96AD144B-97D7-4850-AC5C-51B0F479F666}" name="date7"/>
    <tableColumn id="10" xr3:uid="{005E1A27-E7FD-4157-BCB5-2658E6683603}" name="date8"/>
    <tableColumn id="11" xr3:uid="{89ED8887-C0C4-47C3-84BF-2A35F947619E}" name="date9"/>
    <tableColumn id="12" xr3:uid="{606BEFEF-7B8F-48A8-9988-96595960748D}" name="date10"/>
    <tableColumn id="13" xr3:uid="{D4729682-656A-4736-B933-6CC0AA1AF8A1}" name="date11"/>
    <tableColumn id="14" xr3:uid="{16381D50-1171-43DF-A0E7-A6E00E901108}" name="date12"/>
    <tableColumn id="15" xr3:uid="{7EB8CD26-F563-4888-8579-9947BB3E4CCF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15B0AD-FC26-48DE-BBFF-B61789E37EDC}">
  <we:reference id="wa200001147" version="1.1.0.0" store="en-US" storeType="OMEX"/>
  <we:alternateReferences>
    <we:reference id="wa200001147" version="1.1.0.0" store="WA2000011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D439-E721-4AED-94C2-3B2ECEC2839F}">
  <dimension ref="A1:N302"/>
  <sheetViews>
    <sheetView showGridLines="0" tabSelected="1" zoomScaleNormal="100" workbookViewId="0">
      <pane xSplit="1" ySplit="4" topLeftCell="B5" activePane="bottomRight" state="frozen"/>
      <selection pane="topRight" activeCell="R1" sqref="R1"/>
      <selection pane="bottomLeft" activeCell="A5" sqref="A5"/>
      <selection pane="bottomRight"/>
    </sheetView>
  </sheetViews>
  <sheetFormatPr defaultRowHeight="14.4" x14ac:dyDescent="0.55000000000000004"/>
  <cols>
    <col min="1" max="1" width="41.21875" style="5" bestFit="1" customWidth="1"/>
    <col min="2" max="13" width="11.609375" style="28" bestFit="1" customWidth="1"/>
    <col min="14" max="14" width="11.609375" style="29" bestFit="1" customWidth="1"/>
  </cols>
  <sheetData>
    <row r="1" spans="1:14" x14ac:dyDescent="0.55000000000000004">
      <c r="A1" s="6" t="s">
        <v>118</v>
      </c>
      <c r="B1"/>
      <c r="C1"/>
      <c r="D1"/>
      <c r="E1"/>
      <c r="F1"/>
      <c r="G1"/>
      <c r="H1"/>
      <c r="I1"/>
      <c r="J1"/>
      <c r="K1"/>
      <c r="L1"/>
      <c r="M1"/>
      <c r="N1" s="4"/>
    </row>
    <row r="2" spans="1:14" x14ac:dyDescent="0.55000000000000004">
      <c r="A2" s="6" t="s">
        <v>0</v>
      </c>
      <c r="B2"/>
      <c r="C2"/>
      <c r="D2"/>
      <c r="E2"/>
      <c r="F2"/>
      <c r="G2"/>
      <c r="H2"/>
      <c r="I2"/>
      <c r="J2"/>
      <c r="K2"/>
      <c r="L2"/>
      <c r="M2"/>
      <c r="N2" s="4"/>
    </row>
    <row r="3" spans="1:14" x14ac:dyDescent="0.55000000000000004">
      <c r="B3" s="1" t="s">
        <v>67</v>
      </c>
      <c r="C3" s="1" t="s">
        <v>67</v>
      </c>
      <c r="D3" s="1" t="s">
        <v>67</v>
      </c>
      <c r="E3" s="1" t="s">
        <v>67</v>
      </c>
      <c r="F3" s="1" t="s">
        <v>67</v>
      </c>
      <c r="G3" s="1" t="s">
        <v>67</v>
      </c>
      <c r="H3" s="1" t="s">
        <v>67</v>
      </c>
      <c r="I3" s="1" t="s">
        <v>67</v>
      </c>
      <c r="J3" s="1" t="s">
        <v>67</v>
      </c>
      <c r="K3" s="1" t="s">
        <v>67</v>
      </c>
      <c r="L3" s="1" t="s">
        <v>67</v>
      </c>
      <c r="M3" s="1" t="s">
        <v>67</v>
      </c>
      <c r="N3" s="1"/>
    </row>
    <row r="4" spans="1:14" x14ac:dyDescent="0.55000000000000004">
      <c r="A4" s="23" t="str" cm="1">
        <f t="array" ref="A4:A112">Final_T_12[category]</f>
        <v>Account</v>
      </c>
      <c r="B4" s="2" cm="1">
        <f t="array" ref="B4:B112">Final_T_12[date1]</f>
        <v>45809</v>
      </c>
      <c r="C4" s="2" cm="1">
        <f t="array" ref="C4:C112">Final_T_12[date2]</f>
        <v>45839</v>
      </c>
      <c r="D4" s="2" cm="1">
        <f t="array" ref="D4:D112">Final_T_12[date3]</f>
        <v>45870</v>
      </c>
      <c r="E4" s="2" cm="1">
        <f t="array" ref="E4:E112">Final_T_12[date4]</f>
        <v>45901</v>
      </c>
      <c r="F4" s="2" cm="1">
        <f t="array" ref="F4:F112">Final_T_12[date5]</f>
        <v>45931</v>
      </c>
      <c r="G4" s="2" cm="1">
        <f t="array" ref="G4:G112">Final_T_12[date6]</f>
        <v>45962</v>
      </c>
      <c r="H4" s="2" cm="1">
        <f t="array" ref="H4:H112">Final_T_12[date7]</f>
        <v>45992</v>
      </c>
      <c r="I4" s="2" cm="1">
        <f t="array" ref="I4:I112">Final_T_12[date8]</f>
        <v>46023</v>
      </c>
      <c r="J4" s="2" cm="1">
        <f t="array" ref="J4:J112">Final_T_12[date9]</f>
        <v>46054</v>
      </c>
      <c r="K4" s="2" cm="1">
        <f t="array" ref="K4:K112">Final_T_12[date10]</f>
        <v>46082</v>
      </c>
      <c r="L4" s="2" cm="1">
        <f t="array" ref="L4:L112">Final_T_12[date11]</f>
        <v>46113</v>
      </c>
      <c r="M4" s="2" cm="1">
        <f t="array" ref="M4:M112">Final_T_12[date12]</f>
        <v>46143</v>
      </c>
      <c r="N4" s="3" t="str" cm="1">
        <f t="array" ref="N4:N112">Final_T_12[total]</f>
        <v>Total</v>
      </c>
    </row>
    <row r="5" spans="1:14" x14ac:dyDescent="0.55000000000000004">
      <c r="A5" s="23" t="str">
        <v/>
      </c>
      <c r="B5" s="24" t="str">
        <v/>
      </c>
      <c r="C5" s="24" t="str">
        <v/>
      </c>
      <c r="D5" s="24" t="str">
        <v/>
      </c>
      <c r="E5" s="24" t="str">
        <v/>
      </c>
      <c r="F5" s="24" t="str">
        <v/>
      </c>
      <c r="G5" s="24" t="str">
        <v/>
      </c>
      <c r="H5" s="24" t="str">
        <v/>
      </c>
      <c r="I5" s="24" t="str">
        <v/>
      </c>
      <c r="J5" s="24" t="str">
        <v/>
      </c>
      <c r="K5" s="24" t="str">
        <v/>
      </c>
      <c r="L5" s="24" t="str">
        <v/>
      </c>
      <c r="M5" s="24" t="str">
        <v/>
      </c>
      <c r="N5" s="25" t="str">
        <v/>
      </c>
    </row>
    <row r="6" spans="1:14" x14ac:dyDescent="0.55000000000000004">
      <c r="A6" s="5" t="str">
        <v>Rental Income</v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  <c r="I6" s="5" t="str">
        <v/>
      </c>
      <c r="J6" s="5" t="str">
        <v/>
      </c>
      <c r="K6" s="5" t="str">
        <v/>
      </c>
      <c r="L6" s="5" t="str">
        <v/>
      </c>
      <c r="M6" s="5" t="str">
        <v/>
      </c>
      <c r="N6" s="6" t="str">
        <v/>
      </c>
    </row>
    <row r="7" spans="1:14" x14ac:dyDescent="0.55000000000000004">
      <c r="A7" s="5" t="str">
        <v>4100100   Apartment Income</v>
      </c>
      <c r="B7" s="30">
        <v>98319</v>
      </c>
      <c r="C7" s="30">
        <v>98319</v>
      </c>
      <c r="D7" s="30">
        <v>98319</v>
      </c>
      <c r="E7" s="30">
        <v>98319</v>
      </c>
      <c r="F7" s="30">
        <v>98319</v>
      </c>
      <c r="G7" s="30">
        <v>98319</v>
      </c>
      <c r="H7" s="30">
        <v>98319</v>
      </c>
      <c r="I7" s="30">
        <v>98319</v>
      </c>
      <c r="J7" s="30">
        <v>98319</v>
      </c>
      <c r="K7" s="30">
        <v>98319</v>
      </c>
      <c r="L7" s="30">
        <v>98319</v>
      </c>
      <c r="M7" s="30">
        <v>98319</v>
      </c>
      <c r="N7" s="31">
        <v>1179828</v>
      </c>
    </row>
    <row r="8" spans="1:14" x14ac:dyDescent="0.55000000000000004">
      <c r="A8" s="5" t="str">
        <v>(Loss to Lease) / Gain to Lease</v>
      </c>
      <c r="B8" s="30" t="str">
        <v/>
      </c>
      <c r="C8" s="30" t="str">
        <v/>
      </c>
      <c r="D8" s="30" t="str">
        <v/>
      </c>
      <c r="E8" s="30" t="str">
        <v/>
      </c>
      <c r="F8" s="30" t="str">
        <v/>
      </c>
      <c r="G8" s="30" t="str">
        <v/>
      </c>
      <c r="H8" s="30" t="str">
        <v/>
      </c>
      <c r="I8" s="30" t="str">
        <v/>
      </c>
      <c r="J8" s="30" t="str">
        <v/>
      </c>
      <c r="K8" s="30" t="str">
        <v/>
      </c>
      <c r="L8" s="30" t="str">
        <v/>
      </c>
      <c r="M8" s="30" t="str">
        <v/>
      </c>
      <c r="N8" s="31" t="str">
        <v/>
      </c>
    </row>
    <row r="9" spans="1:14" x14ac:dyDescent="0.55000000000000004">
      <c r="A9" s="5" t="str">
        <v>4100101   Gain/Loss to Lease</v>
      </c>
      <c r="B9" s="30">
        <v>-7470</v>
      </c>
      <c r="C9" s="30">
        <v>-5694</v>
      </c>
      <c r="D9" s="30">
        <v>-4199</v>
      </c>
      <c r="E9" s="30">
        <v>-3850</v>
      </c>
      <c r="F9" s="30">
        <v>-4278</v>
      </c>
      <c r="G9" s="30">
        <v>-4164</v>
      </c>
      <c r="H9" s="30">
        <v>-4094</v>
      </c>
      <c r="I9" s="30">
        <v>-5332</v>
      </c>
      <c r="J9" s="30">
        <v>-3695</v>
      </c>
      <c r="K9" s="30">
        <v>-3174</v>
      </c>
      <c r="L9" s="30">
        <v>-3385</v>
      </c>
      <c r="M9" s="30">
        <v>-3248</v>
      </c>
      <c r="N9" s="31">
        <v>-52583</v>
      </c>
    </row>
    <row r="10" spans="1:14" x14ac:dyDescent="0.55000000000000004">
      <c r="A10" s="5" t="str">
        <v>Vacancy</v>
      </c>
      <c r="B10" s="30" t="str">
        <v/>
      </c>
      <c r="C10" s="30" t="str">
        <v/>
      </c>
      <c r="D10" s="30" t="str">
        <v/>
      </c>
      <c r="E10" s="30" t="str">
        <v/>
      </c>
      <c r="F10" s="30" t="str">
        <v/>
      </c>
      <c r="G10" s="30" t="str">
        <v/>
      </c>
      <c r="H10" s="30" t="str">
        <v/>
      </c>
      <c r="I10" s="30" t="str">
        <v/>
      </c>
      <c r="J10" s="30" t="str">
        <v/>
      </c>
      <c r="K10" s="30" t="str">
        <v/>
      </c>
      <c r="L10" s="30" t="str">
        <v/>
      </c>
      <c r="M10" s="30" t="str">
        <v/>
      </c>
      <c r="N10" s="31" t="str">
        <v/>
      </c>
    </row>
    <row r="11" spans="1:14" x14ac:dyDescent="0.55000000000000004">
      <c r="A11" s="5" t="str">
        <v>4100105   Model Units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-1.83</v>
      </c>
      <c r="M11" s="30">
        <v>-5</v>
      </c>
      <c r="N11" s="31">
        <v>-6.83</v>
      </c>
    </row>
    <row r="12" spans="1:14" x14ac:dyDescent="0.55000000000000004">
      <c r="A12" s="5" t="str">
        <v>Non-Revenue/Concessions</v>
      </c>
      <c r="B12" s="30" t="str">
        <v/>
      </c>
      <c r="C12" s="30" t="str">
        <v/>
      </c>
      <c r="D12" s="30" t="str">
        <v/>
      </c>
      <c r="E12" s="30" t="str">
        <v/>
      </c>
      <c r="F12" s="30" t="str">
        <v/>
      </c>
      <c r="G12" s="30" t="str">
        <v/>
      </c>
      <c r="H12" s="30" t="str">
        <v/>
      </c>
      <c r="I12" s="30" t="str">
        <v/>
      </c>
      <c r="J12" s="30" t="str">
        <v/>
      </c>
      <c r="K12" s="30" t="str">
        <v/>
      </c>
      <c r="L12" s="30" t="str">
        <v/>
      </c>
      <c r="M12" s="30" t="str">
        <v/>
      </c>
      <c r="N12" s="31" t="str">
        <v/>
      </c>
    </row>
    <row r="13" spans="1:14" x14ac:dyDescent="0.55000000000000004">
      <c r="A13" s="5" t="str">
        <v>4100106   Vacancy Loss</v>
      </c>
      <c r="B13" s="30">
        <v>-13725.89</v>
      </c>
      <c r="C13" s="30">
        <v>-14532.17</v>
      </c>
      <c r="D13" s="30">
        <v>-25005.29</v>
      </c>
      <c r="E13" s="30">
        <v>-18833.490000000002</v>
      </c>
      <c r="F13" s="30">
        <v>-7135.31</v>
      </c>
      <c r="G13" s="30">
        <v>-3387.5</v>
      </c>
      <c r="H13" s="30">
        <v>-2806.89</v>
      </c>
      <c r="I13" s="30">
        <v>-105.42</v>
      </c>
      <c r="J13" s="30">
        <v>-1181.42</v>
      </c>
      <c r="K13" s="30">
        <v>-2687.1</v>
      </c>
      <c r="L13" s="30">
        <v>-3492.74</v>
      </c>
      <c r="M13" s="30">
        <v>-2583</v>
      </c>
      <c r="N13" s="31">
        <v>-95476.22</v>
      </c>
    </row>
    <row r="14" spans="1:14" x14ac:dyDescent="0.55000000000000004">
      <c r="A14" s="5" t="str">
        <v>4100107   Concessions</v>
      </c>
      <c r="B14" s="30">
        <v>0</v>
      </c>
      <c r="C14" s="30">
        <v>0</v>
      </c>
      <c r="D14" s="30">
        <v>0</v>
      </c>
      <c r="E14" s="30">
        <v>0</v>
      </c>
      <c r="F14" s="30">
        <v>-99.86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1">
        <v>-99.86</v>
      </c>
    </row>
    <row r="15" spans="1:14" x14ac:dyDescent="0.55000000000000004">
      <c r="A15" s="5" t="str">
        <v>Bad Debt</v>
      </c>
      <c r="B15" s="30" t="str">
        <v/>
      </c>
      <c r="C15" s="30" t="str">
        <v/>
      </c>
      <c r="D15" s="30" t="str">
        <v/>
      </c>
      <c r="E15" s="30" t="str">
        <v/>
      </c>
      <c r="F15" s="30" t="str">
        <v/>
      </c>
      <c r="G15" s="30" t="str">
        <v/>
      </c>
      <c r="H15" s="30" t="str">
        <v/>
      </c>
      <c r="I15" s="30" t="str">
        <v/>
      </c>
      <c r="J15" s="30" t="str">
        <v/>
      </c>
      <c r="K15" s="30" t="str">
        <v/>
      </c>
      <c r="L15" s="30" t="str">
        <v/>
      </c>
      <c r="M15" s="30" t="str">
        <v/>
      </c>
      <c r="N15" s="31" t="str">
        <v/>
      </c>
    </row>
    <row r="16" spans="1:14" x14ac:dyDescent="0.55000000000000004">
      <c r="A16" s="5" t="str">
        <v>4100112   Net Prepaids</v>
      </c>
      <c r="B16" s="30">
        <v>732.09</v>
      </c>
      <c r="C16" s="30">
        <v>5.94</v>
      </c>
      <c r="D16" s="30">
        <v>-2385.7399999999998</v>
      </c>
      <c r="E16" s="30">
        <v>789.69</v>
      </c>
      <c r="F16" s="30">
        <v>1159.4100000000001</v>
      </c>
      <c r="G16" s="30">
        <v>-2248.4499999999998</v>
      </c>
      <c r="H16" s="30">
        <v>960.86</v>
      </c>
      <c r="I16" s="30">
        <v>64.260000000000005</v>
      </c>
      <c r="J16" s="30">
        <v>-1337.56</v>
      </c>
      <c r="K16" s="30">
        <v>-133.27000000000001</v>
      </c>
      <c r="L16" s="30">
        <v>865.34</v>
      </c>
      <c r="M16" s="30">
        <v>-785.12</v>
      </c>
      <c r="N16" s="31">
        <v>-2312.5500000000002</v>
      </c>
    </row>
    <row r="17" spans="1:14" x14ac:dyDescent="0.55000000000000004">
      <c r="A17" s="5" t="str">
        <v>4100113   Net Delinquency</v>
      </c>
      <c r="B17" s="30">
        <v>-7210.84</v>
      </c>
      <c r="C17" s="30">
        <v>-15776.46</v>
      </c>
      <c r="D17" s="30">
        <v>-13010.57</v>
      </c>
      <c r="E17" s="30">
        <v>1307.3599999999999</v>
      </c>
      <c r="F17" s="30">
        <v>-4534.37</v>
      </c>
      <c r="G17" s="30">
        <v>2586.83</v>
      </c>
      <c r="H17" s="30">
        <v>-1844.19</v>
      </c>
      <c r="I17" s="30">
        <v>-1177.1500000000001</v>
      </c>
      <c r="J17" s="30">
        <v>428.94</v>
      </c>
      <c r="K17" s="30">
        <v>-1032.18</v>
      </c>
      <c r="L17" s="30">
        <v>66.59</v>
      </c>
      <c r="M17" s="30">
        <v>-368.77</v>
      </c>
      <c r="N17" s="31">
        <v>-40564.81</v>
      </c>
    </row>
    <row r="18" spans="1:14" x14ac:dyDescent="0.55000000000000004">
      <c r="A18" s="5" t="str">
        <v>RUBS - Water/Sewer</v>
      </c>
      <c r="B18" s="30" t="str">
        <v/>
      </c>
      <c r="C18" s="30" t="str">
        <v/>
      </c>
      <c r="D18" s="30" t="str">
        <v/>
      </c>
      <c r="E18" s="30" t="str">
        <v/>
      </c>
      <c r="F18" s="30" t="str">
        <v/>
      </c>
      <c r="G18" s="30" t="str">
        <v/>
      </c>
      <c r="H18" s="30" t="str">
        <v/>
      </c>
      <c r="I18" s="30" t="str">
        <v/>
      </c>
      <c r="J18" s="30" t="str">
        <v/>
      </c>
      <c r="K18" s="30" t="str">
        <v/>
      </c>
      <c r="L18" s="30" t="str">
        <v/>
      </c>
      <c r="M18" s="30" t="str">
        <v/>
      </c>
      <c r="N18" s="31" t="str">
        <v/>
      </c>
    </row>
    <row r="19" spans="1:14" x14ac:dyDescent="0.55000000000000004">
      <c r="A19" s="5" t="str">
        <v>4101800   Water Reimbursement</v>
      </c>
      <c r="B19" s="30">
        <v>0</v>
      </c>
      <c r="C19" s="30">
        <v>0</v>
      </c>
      <c r="D19" s="30">
        <v>0</v>
      </c>
      <c r="E19" s="30">
        <v>0</v>
      </c>
      <c r="F19" s="30">
        <v>2670</v>
      </c>
      <c r="G19" s="30">
        <v>4240</v>
      </c>
      <c r="H19" s="30">
        <v>4151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1">
        <v>11061</v>
      </c>
    </row>
    <row r="20" spans="1:14" x14ac:dyDescent="0.55000000000000004">
      <c r="A20" s="5" t="str">
        <v>RUBS - Electric/Gas/Other</v>
      </c>
      <c r="B20" s="30" t="str">
        <v/>
      </c>
      <c r="C20" s="30" t="str">
        <v/>
      </c>
      <c r="D20" s="30" t="str">
        <v/>
      </c>
      <c r="E20" s="30" t="str">
        <v/>
      </c>
      <c r="F20" s="30" t="str">
        <v/>
      </c>
      <c r="G20" s="30" t="str">
        <v/>
      </c>
      <c r="H20" s="30" t="str">
        <v/>
      </c>
      <c r="I20" s="30" t="str">
        <v/>
      </c>
      <c r="J20" s="30" t="str">
        <v/>
      </c>
      <c r="K20" s="30" t="str">
        <v/>
      </c>
      <c r="L20" s="30" t="str">
        <v/>
      </c>
      <c r="M20" s="30" t="str">
        <v/>
      </c>
      <c r="N20" s="31" t="str">
        <v/>
      </c>
    </row>
    <row r="21" spans="1:14" x14ac:dyDescent="0.55000000000000004">
      <c r="A21" s="5" t="str">
        <v>4101830   Trash Reimbursement</v>
      </c>
      <c r="B21" s="30">
        <v>1148.04</v>
      </c>
      <c r="C21" s="30">
        <v>1127.42</v>
      </c>
      <c r="D21" s="30">
        <v>818.24</v>
      </c>
      <c r="E21" s="30">
        <v>919.17</v>
      </c>
      <c r="F21" s="30">
        <v>760.65</v>
      </c>
      <c r="G21" s="30">
        <v>705.83</v>
      </c>
      <c r="H21" s="30">
        <v>760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1">
        <v>6239.35</v>
      </c>
    </row>
    <row r="22" spans="1:14" x14ac:dyDescent="0.55000000000000004">
      <c r="A22" s="5" t="str">
        <v>Other Income</v>
      </c>
      <c r="B22" s="30" t="str">
        <v/>
      </c>
      <c r="C22" s="30" t="str">
        <v/>
      </c>
      <c r="D22" s="30" t="str">
        <v/>
      </c>
      <c r="E22" s="30" t="str">
        <v/>
      </c>
      <c r="F22" s="30" t="str">
        <v/>
      </c>
      <c r="G22" s="30" t="str">
        <v/>
      </c>
      <c r="H22" s="30" t="str">
        <v/>
      </c>
      <c r="I22" s="30" t="str">
        <v/>
      </c>
      <c r="J22" s="30" t="str">
        <v/>
      </c>
      <c r="K22" s="30" t="str">
        <v/>
      </c>
      <c r="L22" s="30" t="str">
        <v/>
      </c>
      <c r="M22" s="30" t="str">
        <v/>
      </c>
      <c r="N22" s="31" t="str">
        <v/>
      </c>
    </row>
    <row r="23" spans="1:14" x14ac:dyDescent="0.55000000000000004">
      <c r="A23" s="5" t="str">
        <v>Other Income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1">
        <v>0</v>
      </c>
    </row>
    <row r="24" spans="1:14" x14ac:dyDescent="0.55000000000000004">
      <c r="A24" s="5" t="str">
        <v>4100200   Month to Month</v>
      </c>
      <c r="B24" s="30">
        <v>0</v>
      </c>
      <c r="C24" s="30">
        <v>0</v>
      </c>
      <c r="D24" s="30">
        <v>0</v>
      </c>
      <c r="E24" s="30">
        <v>0</v>
      </c>
      <c r="F24" s="30">
        <v>135.88999999999999</v>
      </c>
      <c r="G24" s="30">
        <v>400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1">
        <v>535.89</v>
      </c>
    </row>
    <row r="25" spans="1:14" x14ac:dyDescent="0.55000000000000004">
      <c r="A25" s="5" t="str">
        <v>4100600   Cleaning fee/Damage Fee</v>
      </c>
      <c r="B25" s="30">
        <v>0</v>
      </c>
      <c r="C25" s="30">
        <v>0</v>
      </c>
      <c r="D25" s="30">
        <v>28.7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1">
        <v>28.7</v>
      </c>
    </row>
    <row r="26" spans="1:14" x14ac:dyDescent="0.55000000000000004">
      <c r="A26" s="5" t="str">
        <v>4100700   Carport Parking</v>
      </c>
      <c r="B26" s="30">
        <v>105</v>
      </c>
      <c r="C26" s="30">
        <v>210</v>
      </c>
      <c r="D26" s="30">
        <v>105</v>
      </c>
      <c r="E26" s="30">
        <v>141.16999999999999</v>
      </c>
      <c r="F26" s="30">
        <v>210</v>
      </c>
      <c r="G26" s="30">
        <v>148.16999999999999</v>
      </c>
      <c r="H26" s="30">
        <v>210</v>
      </c>
      <c r="I26" s="30">
        <v>175</v>
      </c>
      <c r="J26" s="30">
        <v>140</v>
      </c>
      <c r="K26" s="30">
        <v>175</v>
      </c>
      <c r="L26" s="30">
        <v>175</v>
      </c>
      <c r="M26" s="30">
        <v>175</v>
      </c>
      <c r="N26" s="31">
        <v>1969.34</v>
      </c>
    </row>
    <row r="27" spans="1:14" x14ac:dyDescent="0.55000000000000004">
      <c r="A27" s="5" t="str">
        <v>4100800   Pet Fee</v>
      </c>
      <c r="B27" s="30">
        <v>180</v>
      </c>
      <c r="C27" s="30">
        <v>180</v>
      </c>
      <c r="D27" s="30">
        <v>135</v>
      </c>
      <c r="E27" s="30">
        <v>190</v>
      </c>
      <c r="F27" s="30">
        <v>145.19999999999999</v>
      </c>
      <c r="G27" s="30">
        <v>120</v>
      </c>
      <c r="H27" s="30">
        <v>120</v>
      </c>
      <c r="I27" s="30">
        <v>120</v>
      </c>
      <c r="J27" s="30">
        <v>145</v>
      </c>
      <c r="K27" s="30">
        <v>160</v>
      </c>
      <c r="L27" s="30">
        <v>160</v>
      </c>
      <c r="M27" s="30">
        <v>185</v>
      </c>
      <c r="N27" s="31">
        <v>1840.2</v>
      </c>
    </row>
    <row r="28" spans="1:14" x14ac:dyDescent="0.55000000000000004">
      <c r="A28" s="5" t="str">
        <v>4100900   Deposit Forfeiture</v>
      </c>
      <c r="B28" s="30">
        <v>0</v>
      </c>
      <c r="C28" s="30">
        <v>4500</v>
      </c>
      <c r="D28" s="30">
        <v>3499</v>
      </c>
      <c r="E28" s="30">
        <v>350</v>
      </c>
      <c r="F28" s="30">
        <v>0</v>
      </c>
      <c r="G28" s="30">
        <v>0</v>
      </c>
      <c r="H28" s="30">
        <v>0</v>
      </c>
      <c r="I28" s="30">
        <v>2440</v>
      </c>
      <c r="J28" s="30">
        <v>0</v>
      </c>
      <c r="K28" s="30">
        <v>0</v>
      </c>
      <c r="L28" s="30">
        <v>404.5</v>
      </c>
      <c r="M28" s="30">
        <v>718.22</v>
      </c>
      <c r="N28" s="31">
        <v>11911.72</v>
      </c>
    </row>
    <row r="29" spans="1:14" x14ac:dyDescent="0.55000000000000004">
      <c r="A29" s="5" t="str">
        <v>4101100   Late Charges</v>
      </c>
      <c r="B29" s="30">
        <v>582</v>
      </c>
      <c r="C29" s="30">
        <v>339.07</v>
      </c>
      <c r="D29" s="30">
        <v>64.77</v>
      </c>
      <c r="E29" s="30">
        <v>949.5</v>
      </c>
      <c r="F29" s="30">
        <v>410</v>
      </c>
      <c r="G29" s="30">
        <v>1474</v>
      </c>
      <c r="H29" s="30">
        <v>969</v>
      </c>
      <c r="I29" s="30">
        <v>1003.8</v>
      </c>
      <c r="J29" s="30">
        <v>863.5</v>
      </c>
      <c r="K29" s="30">
        <v>1166.4000000000001</v>
      </c>
      <c r="L29" s="30">
        <v>104.9</v>
      </c>
      <c r="M29" s="30">
        <v>629.5</v>
      </c>
      <c r="N29" s="31">
        <v>8556.44</v>
      </c>
    </row>
    <row r="30" spans="1:14" x14ac:dyDescent="0.55000000000000004">
      <c r="A30" s="5" t="str">
        <v>4101200   NSF Charges</v>
      </c>
      <c r="B30" s="30">
        <v>50</v>
      </c>
      <c r="C30" s="30">
        <v>0</v>
      </c>
      <c r="D30" s="30">
        <v>7</v>
      </c>
      <c r="E30" s="30">
        <v>93</v>
      </c>
      <c r="F30" s="30">
        <v>0</v>
      </c>
      <c r="G30" s="30">
        <v>0</v>
      </c>
      <c r="H30" s="30">
        <v>100</v>
      </c>
      <c r="I30" s="30">
        <v>200</v>
      </c>
      <c r="J30" s="30">
        <v>150</v>
      </c>
      <c r="K30" s="30">
        <v>50</v>
      </c>
      <c r="L30" s="30">
        <v>50</v>
      </c>
      <c r="M30" s="30">
        <v>0</v>
      </c>
      <c r="N30" s="31">
        <v>700</v>
      </c>
    </row>
    <row r="31" spans="1:14" x14ac:dyDescent="0.55000000000000004">
      <c r="A31" s="23" t="str">
        <v>4101400   Application Fees</v>
      </c>
      <c r="B31" s="30">
        <v>400</v>
      </c>
      <c r="C31" s="30">
        <v>390</v>
      </c>
      <c r="D31" s="30">
        <v>149</v>
      </c>
      <c r="E31" s="30">
        <v>1347</v>
      </c>
      <c r="F31" s="30">
        <v>660</v>
      </c>
      <c r="G31" s="30">
        <v>0</v>
      </c>
      <c r="H31" s="30">
        <v>75</v>
      </c>
      <c r="I31" s="30">
        <v>0</v>
      </c>
      <c r="J31" s="30">
        <v>0</v>
      </c>
      <c r="K31" s="30">
        <v>225</v>
      </c>
      <c r="L31" s="30">
        <v>375</v>
      </c>
      <c r="M31" s="30">
        <v>100</v>
      </c>
      <c r="N31" s="31">
        <v>3721</v>
      </c>
    </row>
    <row r="32" spans="1:14" x14ac:dyDescent="0.55000000000000004">
      <c r="A32" s="5" t="str">
        <v>4101500   Washer/Dryer Income</v>
      </c>
      <c r="B32" s="30">
        <v>376.07</v>
      </c>
      <c r="C32" s="30">
        <v>480</v>
      </c>
      <c r="D32" s="30">
        <v>318.23</v>
      </c>
      <c r="E32" s="30">
        <v>952.5</v>
      </c>
      <c r="F32" s="30">
        <v>1135.2</v>
      </c>
      <c r="G32" s="30">
        <v>1813.87</v>
      </c>
      <c r="H32" s="30">
        <v>1627.41</v>
      </c>
      <c r="I32" s="30">
        <v>1850.61</v>
      </c>
      <c r="J32" s="30">
        <v>1627.42</v>
      </c>
      <c r="K32" s="30">
        <v>1600.97</v>
      </c>
      <c r="L32" s="30">
        <v>1633.17</v>
      </c>
      <c r="M32" s="30">
        <v>1786.45</v>
      </c>
      <c r="N32" s="31">
        <v>15201.9</v>
      </c>
    </row>
    <row r="33" spans="1:14" x14ac:dyDescent="0.55000000000000004">
      <c r="A33" s="5" t="str">
        <v>4101600   Administrative Fee</v>
      </c>
      <c r="B33" s="30">
        <v>420</v>
      </c>
      <c r="C33" s="30">
        <v>0</v>
      </c>
      <c r="D33" s="30">
        <v>149</v>
      </c>
      <c r="E33" s="30">
        <v>637</v>
      </c>
      <c r="F33" s="30">
        <v>400</v>
      </c>
      <c r="G33" s="30">
        <v>0</v>
      </c>
      <c r="H33" s="30">
        <v>0</v>
      </c>
      <c r="I33" s="30">
        <v>110</v>
      </c>
      <c r="J33" s="30">
        <v>10</v>
      </c>
      <c r="K33" s="30">
        <v>110</v>
      </c>
      <c r="L33" s="30">
        <v>300</v>
      </c>
      <c r="M33" s="30">
        <v>-95</v>
      </c>
      <c r="N33" s="31">
        <v>2041</v>
      </c>
    </row>
    <row r="34" spans="1:14" x14ac:dyDescent="0.55000000000000004">
      <c r="A34" s="5" t="str">
        <v>4101835   Valet Trash Reimbursement</v>
      </c>
      <c r="B34" s="30">
        <v>44.84</v>
      </c>
      <c r="C34" s="30">
        <v>125.97</v>
      </c>
      <c r="D34" s="30">
        <v>251.61</v>
      </c>
      <c r="E34" s="30">
        <v>619.77</v>
      </c>
      <c r="F34" s="30">
        <v>834.89</v>
      </c>
      <c r="G34" s="30">
        <v>1166.5</v>
      </c>
      <c r="H34" s="30">
        <v>1060.48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1">
        <v>4104.0600000000004</v>
      </c>
    </row>
    <row r="35" spans="1:14" x14ac:dyDescent="0.55000000000000004">
      <c r="A35" s="5" t="str">
        <v>4101850   Pest Control Income</v>
      </c>
      <c r="B35" s="30">
        <v>239.16</v>
      </c>
      <c r="C35" s="30">
        <v>250.48</v>
      </c>
      <c r="D35" s="30">
        <v>209.7</v>
      </c>
      <c r="E35" s="30">
        <v>309.66000000000003</v>
      </c>
      <c r="F35" s="30">
        <v>319.24</v>
      </c>
      <c r="G35" s="30">
        <v>372.43</v>
      </c>
      <c r="H35" s="30">
        <v>367.1</v>
      </c>
      <c r="I35" s="30">
        <v>365.97</v>
      </c>
      <c r="J35" s="30">
        <v>371.45</v>
      </c>
      <c r="K35" s="30">
        <v>355.16</v>
      </c>
      <c r="L35" s="30">
        <v>350.16</v>
      </c>
      <c r="M35" s="30">
        <v>346.94</v>
      </c>
      <c r="N35" s="31">
        <v>3857.45</v>
      </c>
    </row>
    <row r="36" spans="1:14" x14ac:dyDescent="0.55000000000000004">
      <c r="A36" s="5" t="str">
        <v>4101860   Utility Income-RUBS</v>
      </c>
      <c r="B36" s="30">
        <v>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6275.86</v>
      </c>
      <c r="J36" s="30">
        <v>7844.76</v>
      </c>
      <c r="K36" s="30">
        <v>6589.54</v>
      </c>
      <c r="L36" s="30">
        <v>6528.33</v>
      </c>
      <c r="M36" s="30">
        <v>6449.35</v>
      </c>
      <c r="N36" s="31">
        <v>33687.839999999997</v>
      </c>
    </row>
    <row r="37" spans="1:14" x14ac:dyDescent="0.55000000000000004">
      <c r="A37" s="5" t="str">
        <v>4101900   Reletting Fees</v>
      </c>
      <c r="B37" s="30">
        <v>0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1530.79</v>
      </c>
      <c r="J37" s="30">
        <v>0</v>
      </c>
      <c r="K37" s="30">
        <v>1041.25</v>
      </c>
      <c r="L37" s="30">
        <v>0</v>
      </c>
      <c r="M37" s="30">
        <v>69.67</v>
      </c>
      <c r="N37" s="31">
        <v>2641.71</v>
      </c>
    </row>
    <row r="38" spans="1:14" x14ac:dyDescent="0.55000000000000004">
      <c r="A38" s="5" t="str">
        <v>4109000   Amenity Fee</v>
      </c>
      <c r="B38" s="30">
        <v>695</v>
      </c>
      <c r="C38" s="30">
        <v>730</v>
      </c>
      <c r="D38" s="30">
        <v>626.96</v>
      </c>
      <c r="E38" s="30">
        <v>1074.6099999999999</v>
      </c>
      <c r="F38" s="30">
        <v>1002.9</v>
      </c>
      <c r="G38" s="30">
        <v>1128.3399999999999</v>
      </c>
      <c r="H38" s="30">
        <v>1080</v>
      </c>
      <c r="I38" s="30">
        <v>1050</v>
      </c>
      <c r="J38" s="30">
        <v>1085</v>
      </c>
      <c r="K38" s="30">
        <v>1040</v>
      </c>
      <c r="L38" s="30">
        <v>1035.68</v>
      </c>
      <c r="M38" s="30">
        <v>1015</v>
      </c>
      <c r="N38" s="31">
        <v>11563.49</v>
      </c>
    </row>
    <row r="39" spans="1:14" x14ac:dyDescent="0.55000000000000004">
      <c r="A39" s="5" t="str">
        <v>Total Revenue</v>
      </c>
      <c r="B39" s="30">
        <v>74884.47</v>
      </c>
      <c r="C39" s="30">
        <v>70655.25</v>
      </c>
      <c r="D39" s="30">
        <v>60080.61</v>
      </c>
      <c r="E39" s="30">
        <v>85315.94</v>
      </c>
      <c r="F39" s="30">
        <v>92114.84</v>
      </c>
      <c r="G39" s="30">
        <v>102675.02</v>
      </c>
      <c r="H39" s="30">
        <v>101054.77</v>
      </c>
      <c r="I39" s="30">
        <v>106890.72</v>
      </c>
      <c r="J39" s="30">
        <v>104771.09</v>
      </c>
      <c r="K39" s="30">
        <v>103805.77</v>
      </c>
      <c r="L39" s="30">
        <v>103488.1</v>
      </c>
      <c r="M39" s="30">
        <v>102709.24</v>
      </c>
      <c r="N39" s="31">
        <v>1108445.82</v>
      </c>
    </row>
    <row r="40" spans="1:14" x14ac:dyDescent="0.55000000000000004">
      <c r="A40" s="5" t="str">
        <v/>
      </c>
      <c r="B40" s="30" t="str">
        <v/>
      </c>
      <c r="C40" s="30" t="str">
        <v/>
      </c>
      <c r="D40" s="30" t="str">
        <v/>
      </c>
      <c r="E40" s="30" t="str">
        <v/>
      </c>
      <c r="F40" s="30" t="str">
        <v/>
      </c>
      <c r="G40" s="30" t="str">
        <v/>
      </c>
      <c r="H40" s="30" t="str">
        <v/>
      </c>
      <c r="I40" s="30" t="str">
        <v/>
      </c>
      <c r="J40" s="30" t="str">
        <v/>
      </c>
      <c r="K40" s="30" t="str">
        <v/>
      </c>
      <c r="L40" s="30" t="str">
        <v/>
      </c>
      <c r="M40" s="30" t="str">
        <v/>
      </c>
      <c r="N40" s="31" t="str">
        <v/>
      </c>
    </row>
    <row r="41" spans="1:14" x14ac:dyDescent="0.55000000000000004">
      <c r="A41" s="5" t="str">
        <v>Expense</v>
      </c>
      <c r="B41" s="30" t="str">
        <v/>
      </c>
      <c r="C41" s="30" t="str">
        <v/>
      </c>
      <c r="D41" s="30" t="str">
        <v/>
      </c>
      <c r="E41" s="30" t="str">
        <v/>
      </c>
      <c r="F41" s="30" t="str">
        <v/>
      </c>
      <c r="G41" s="30" t="str">
        <v/>
      </c>
      <c r="H41" s="30" t="str">
        <v/>
      </c>
      <c r="I41" s="30" t="str">
        <v/>
      </c>
      <c r="J41" s="30" t="str">
        <v/>
      </c>
      <c r="K41" s="30" t="str">
        <v/>
      </c>
      <c r="L41" s="30" t="str">
        <v/>
      </c>
      <c r="M41" s="30" t="str">
        <v/>
      </c>
      <c r="N41" s="31" t="str">
        <v/>
      </c>
    </row>
    <row r="42" spans="1:14" x14ac:dyDescent="0.55000000000000004">
      <c r="A42" s="5" t="str">
        <v>Contract Services</v>
      </c>
      <c r="B42" s="30" t="str">
        <v/>
      </c>
      <c r="C42" s="30" t="str">
        <v/>
      </c>
      <c r="D42" s="30" t="str">
        <v/>
      </c>
      <c r="E42" s="30" t="str">
        <v/>
      </c>
      <c r="F42" s="30" t="str">
        <v/>
      </c>
      <c r="G42" s="30" t="str">
        <v/>
      </c>
      <c r="H42" s="30" t="str">
        <v/>
      </c>
      <c r="I42" s="30" t="str">
        <v/>
      </c>
      <c r="J42" s="30" t="str">
        <v/>
      </c>
      <c r="K42" s="30" t="str">
        <v/>
      </c>
      <c r="L42" s="30" t="str">
        <v/>
      </c>
      <c r="M42" s="30" t="str">
        <v/>
      </c>
      <c r="N42" s="31" t="str">
        <v/>
      </c>
    </row>
    <row r="43" spans="1:14" x14ac:dyDescent="0.55000000000000004">
      <c r="A43" s="5" t="str">
        <v>5500200   Equipment Rental and Expense</v>
      </c>
      <c r="B43" s="30">
        <v>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1604.27</v>
      </c>
      <c r="I43" s="30">
        <v>0</v>
      </c>
      <c r="J43" s="30">
        <v>0</v>
      </c>
      <c r="K43" s="30">
        <v>0</v>
      </c>
      <c r="L43" s="30">
        <v>0</v>
      </c>
      <c r="M43" s="30">
        <v>392</v>
      </c>
      <c r="N43" s="31">
        <v>1996.27</v>
      </c>
    </row>
    <row r="44" spans="1:14" x14ac:dyDescent="0.55000000000000004">
      <c r="A44" s="5" t="str">
        <v>5500300   Landscaping</v>
      </c>
      <c r="B44" s="30">
        <v>811.88</v>
      </c>
      <c r="C44" s="30">
        <v>811.88</v>
      </c>
      <c r="D44" s="30">
        <v>811.88</v>
      </c>
      <c r="E44" s="30">
        <v>811.88</v>
      </c>
      <c r="F44" s="30">
        <v>811.88</v>
      </c>
      <c r="G44" s="30">
        <v>811.88</v>
      </c>
      <c r="H44" s="30">
        <v>811.88</v>
      </c>
      <c r="I44" s="30">
        <v>811.88</v>
      </c>
      <c r="J44" s="30">
        <v>811.88</v>
      </c>
      <c r="K44" s="30">
        <v>811.88</v>
      </c>
      <c r="L44" s="30">
        <v>811.88</v>
      </c>
      <c r="M44" s="30">
        <v>811.88</v>
      </c>
      <c r="N44" s="31">
        <v>9742.56</v>
      </c>
    </row>
    <row r="45" spans="1:14" x14ac:dyDescent="0.55000000000000004">
      <c r="A45" s="5" t="str">
        <v>5500350   Landscaping Seasonal</v>
      </c>
      <c r="B45" s="30">
        <v>0</v>
      </c>
      <c r="C45" s="30">
        <v>0</v>
      </c>
      <c r="D45" s="30">
        <v>447.55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1">
        <v>447.55</v>
      </c>
    </row>
    <row r="46" spans="1:14" x14ac:dyDescent="0.55000000000000004">
      <c r="A46" s="5" t="str">
        <v>5500700   Pest Control</v>
      </c>
      <c r="B46" s="30">
        <v>0</v>
      </c>
      <c r="C46" s="30">
        <v>0</v>
      </c>
      <c r="D46" s="30">
        <v>107.98</v>
      </c>
      <c r="E46" s="30">
        <v>0</v>
      </c>
      <c r="F46" s="30">
        <v>363.97</v>
      </c>
      <c r="G46" s="30">
        <v>107.98</v>
      </c>
      <c r="H46" s="30">
        <v>107.98</v>
      </c>
      <c r="I46" s="30">
        <v>118.78</v>
      </c>
      <c r="J46" s="30">
        <v>0</v>
      </c>
      <c r="K46" s="30">
        <v>237.56</v>
      </c>
      <c r="L46" s="30">
        <v>0</v>
      </c>
      <c r="M46" s="30">
        <v>237.56</v>
      </c>
      <c r="N46" s="31">
        <v>1281.81</v>
      </c>
    </row>
    <row r="47" spans="1:14" x14ac:dyDescent="0.55000000000000004">
      <c r="A47" s="5" t="str">
        <v>5500800   Alarm Monitoring</v>
      </c>
      <c r="B47" s="30">
        <v>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584.55999999999995</v>
      </c>
      <c r="I47" s="30">
        <v>0</v>
      </c>
      <c r="J47" s="30">
        <v>681.99</v>
      </c>
      <c r="K47" s="30">
        <v>2432.06</v>
      </c>
      <c r="L47" s="30">
        <v>0</v>
      </c>
      <c r="M47" s="30">
        <v>1694.8</v>
      </c>
      <c r="N47" s="31">
        <v>5393.41</v>
      </c>
    </row>
    <row r="48" spans="1:14" x14ac:dyDescent="0.55000000000000004">
      <c r="A48" s="5" t="str">
        <v>5500900   Washer/Dryer Expense</v>
      </c>
      <c r="B48" s="30">
        <v>1203.2</v>
      </c>
      <c r="C48" s="30">
        <v>1203.2</v>
      </c>
      <c r="D48" s="30">
        <v>1203.21</v>
      </c>
      <c r="E48" s="30">
        <v>4690.54</v>
      </c>
      <c r="F48" s="30">
        <v>0</v>
      </c>
      <c r="G48" s="30">
        <v>2063.27</v>
      </c>
      <c r="H48" s="30">
        <v>0</v>
      </c>
      <c r="I48" s="30">
        <v>1806.42</v>
      </c>
      <c r="J48" s="30">
        <v>0</v>
      </c>
      <c r="K48" s="30">
        <v>1815.35</v>
      </c>
      <c r="L48" s="30">
        <v>3761.86</v>
      </c>
      <c r="M48" s="30">
        <v>0</v>
      </c>
      <c r="N48" s="31">
        <v>17747.05</v>
      </c>
    </row>
    <row r="49" spans="1:14" x14ac:dyDescent="0.55000000000000004">
      <c r="A49" s="5" t="str">
        <v>Repair &amp; Maintenance</v>
      </c>
      <c r="B49" s="30" t="str">
        <v/>
      </c>
      <c r="C49" s="30" t="str">
        <v/>
      </c>
      <c r="D49" s="30" t="str">
        <v/>
      </c>
      <c r="E49" s="30" t="str">
        <v/>
      </c>
      <c r="F49" s="30" t="str">
        <v/>
      </c>
      <c r="G49" s="30" t="str">
        <v/>
      </c>
      <c r="H49" s="30" t="str">
        <v/>
      </c>
      <c r="I49" s="30" t="str">
        <v/>
      </c>
      <c r="J49" s="30" t="str">
        <v/>
      </c>
      <c r="K49" s="30" t="str">
        <v/>
      </c>
      <c r="L49" s="30" t="str">
        <v/>
      </c>
      <c r="M49" s="30" t="str">
        <v/>
      </c>
      <c r="N49" s="31" t="str">
        <v/>
      </c>
    </row>
    <row r="50" spans="1:14" x14ac:dyDescent="0.55000000000000004">
      <c r="A50" s="5" t="str">
        <v>5700100   Carpentry</v>
      </c>
      <c r="B50" s="30">
        <v>0</v>
      </c>
      <c r="C50" s="30">
        <v>21.62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-32.119999999999997</v>
      </c>
      <c r="N50" s="31">
        <v>-10.5</v>
      </c>
    </row>
    <row r="51" spans="1:14" x14ac:dyDescent="0.55000000000000004">
      <c r="A51" s="5" t="str">
        <v>5700200   Paint Contract</v>
      </c>
      <c r="B51" s="30">
        <v>1828.3</v>
      </c>
      <c r="C51" s="30">
        <v>5574.56</v>
      </c>
      <c r="D51" s="30">
        <v>1910</v>
      </c>
      <c r="E51" s="30">
        <v>3200.6</v>
      </c>
      <c r="F51" s="30">
        <v>9664.6200000000008</v>
      </c>
      <c r="G51" s="30">
        <v>2274.8000000000002</v>
      </c>
      <c r="H51" s="30">
        <v>0</v>
      </c>
      <c r="I51" s="30">
        <v>443.83</v>
      </c>
      <c r="J51" s="30">
        <v>33.53</v>
      </c>
      <c r="K51" s="30">
        <v>1010.8</v>
      </c>
      <c r="L51" s="30">
        <v>2716</v>
      </c>
      <c r="M51" s="30">
        <v>1377.4</v>
      </c>
      <c r="N51" s="31">
        <v>30034.44</v>
      </c>
    </row>
    <row r="52" spans="1:14" x14ac:dyDescent="0.55000000000000004">
      <c r="A52" s="5" t="str">
        <v>5700500   Small Tools</v>
      </c>
      <c r="B52" s="30">
        <v>0</v>
      </c>
      <c r="C52" s="30">
        <v>260.68</v>
      </c>
      <c r="D52" s="30">
        <v>0</v>
      </c>
      <c r="E52" s="30">
        <v>359.23</v>
      </c>
      <c r="F52" s="30">
        <v>23.71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1">
        <v>643.62</v>
      </c>
    </row>
    <row r="53" spans="1:14" x14ac:dyDescent="0.55000000000000004">
      <c r="A53" s="5" t="str">
        <v>5700700   Electrical Parts and Labor</v>
      </c>
      <c r="B53" s="30">
        <v>63.36</v>
      </c>
      <c r="C53" s="30">
        <v>92.88</v>
      </c>
      <c r="D53" s="30">
        <v>0</v>
      </c>
      <c r="E53" s="30">
        <v>25.94</v>
      </c>
      <c r="F53" s="30">
        <v>154.66</v>
      </c>
      <c r="G53" s="30">
        <v>103.4</v>
      </c>
      <c r="H53" s="30">
        <v>0</v>
      </c>
      <c r="I53" s="30">
        <v>0</v>
      </c>
      <c r="J53" s="30">
        <v>94.77</v>
      </c>
      <c r="K53" s="30">
        <v>12.59</v>
      </c>
      <c r="L53" s="30">
        <v>0</v>
      </c>
      <c r="M53" s="30">
        <v>0</v>
      </c>
      <c r="N53" s="31">
        <v>547.6</v>
      </c>
    </row>
    <row r="54" spans="1:14" x14ac:dyDescent="0.55000000000000004">
      <c r="A54" s="5" t="str">
        <v>5700900   Air Conditioning and Heat</v>
      </c>
      <c r="B54" s="30">
        <v>0</v>
      </c>
      <c r="C54" s="30">
        <v>350.02</v>
      </c>
      <c r="D54" s="30">
        <v>0</v>
      </c>
      <c r="E54" s="30">
        <v>165.75</v>
      </c>
      <c r="F54" s="30">
        <v>1213.2</v>
      </c>
      <c r="G54" s="30">
        <v>283.89999999999998</v>
      </c>
      <c r="H54" s="30">
        <v>496.71</v>
      </c>
      <c r="I54" s="30">
        <v>583.30999999999995</v>
      </c>
      <c r="J54" s="30">
        <v>158.22999999999999</v>
      </c>
      <c r="K54" s="30">
        <v>1544.37</v>
      </c>
      <c r="L54" s="30">
        <v>51.96</v>
      </c>
      <c r="M54" s="30">
        <v>0</v>
      </c>
      <c r="N54" s="31">
        <v>4847.45</v>
      </c>
    </row>
    <row r="55" spans="1:14" x14ac:dyDescent="0.55000000000000004">
      <c r="A55" s="5" t="str">
        <v>5701000   Pool Supplies and Repairs</v>
      </c>
      <c r="B55" s="30">
        <v>0</v>
      </c>
      <c r="C55" s="30">
        <v>180.03</v>
      </c>
      <c r="D55" s="30">
        <v>0</v>
      </c>
      <c r="E55" s="30">
        <v>558.27</v>
      </c>
      <c r="F55" s="30">
        <v>538.9</v>
      </c>
      <c r="G55" s="30">
        <v>270.62</v>
      </c>
      <c r="H55" s="30">
        <v>299.13</v>
      </c>
      <c r="I55" s="30">
        <v>0</v>
      </c>
      <c r="J55" s="30">
        <v>15.99</v>
      </c>
      <c r="K55" s="30">
        <v>249.23</v>
      </c>
      <c r="L55" s="30">
        <v>0</v>
      </c>
      <c r="M55" s="30">
        <v>968.99</v>
      </c>
      <c r="N55" s="31">
        <v>3081.16</v>
      </c>
    </row>
    <row r="56" spans="1:14" x14ac:dyDescent="0.55000000000000004">
      <c r="A56" s="5" t="str">
        <v>5701100   General Supplies</v>
      </c>
      <c r="B56" s="30">
        <v>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626.6</v>
      </c>
      <c r="K56" s="30">
        <v>0</v>
      </c>
      <c r="L56" s="30">
        <v>0</v>
      </c>
      <c r="M56" s="30">
        <v>0</v>
      </c>
      <c r="N56" s="31">
        <v>626.6</v>
      </c>
    </row>
    <row r="57" spans="1:14" x14ac:dyDescent="0.55000000000000004">
      <c r="A57" s="5" t="str">
        <v>5701200   Landscaping Supplies</v>
      </c>
      <c r="B57" s="30">
        <v>0</v>
      </c>
      <c r="C57" s="30">
        <v>0</v>
      </c>
      <c r="D57" s="30">
        <v>0</v>
      </c>
      <c r="E57" s="30">
        <v>351.38</v>
      </c>
      <c r="F57" s="30">
        <v>10.29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1">
        <v>361.67</v>
      </c>
    </row>
    <row r="58" spans="1:14" x14ac:dyDescent="0.55000000000000004">
      <c r="A58" s="5" t="str">
        <v>5701300   Plumbing Labor and Parts</v>
      </c>
      <c r="B58" s="30">
        <v>72.53</v>
      </c>
      <c r="C58" s="30">
        <v>767.46</v>
      </c>
      <c r="D58" s="30">
        <v>0</v>
      </c>
      <c r="E58" s="30">
        <v>638.51</v>
      </c>
      <c r="F58" s="30">
        <v>-57.85</v>
      </c>
      <c r="G58" s="30">
        <v>179.37</v>
      </c>
      <c r="H58" s="30">
        <v>0</v>
      </c>
      <c r="I58" s="30">
        <v>0</v>
      </c>
      <c r="J58" s="30">
        <v>240.17</v>
      </c>
      <c r="K58" s="30">
        <v>467.66</v>
      </c>
      <c r="L58" s="30">
        <v>45.45</v>
      </c>
      <c r="M58" s="30">
        <v>0</v>
      </c>
      <c r="N58" s="31">
        <v>2353.3000000000002</v>
      </c>
    </row>
    <row r="59" spans="1:14" x14ac:dyDescent="0.55000000000000004">
      <c r="A59" s="5" t="str">
        <v>5701600   Glass and Mirror</v>
      </c>
      <c r="B59" s="30">
        <v>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708.36</v>
      </c>
      <c r="K59" s="30">
        <v>0</v>
      </c>
      <c r="L59" s="30">
        <v>0</v>
      </c>
      <c r="M59" s="30">
        <v>0</v>
      </c>
      <c r="N59" s="31">
        <v>708.36</v>
      </c>
    </row>
    <row r="60" spans="1:14" x14ac:dyDescent="0.55000000000000004">
      <c r="A60" s="5" t="str">
        <v>5701700   Driveway and Sidewalk Repairs</v>
      </c>
      <c r="B60" s="30">
        <v>0</v>
      </c>
      <c r="C60" s="30">
        <v>0</v>
      </c>
      <c r="D60" s="30">
        <v>0</v>
      </c>
      <c r="E60" s="30">
        <v>110.22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1">
        <v>110.22</v>
      </c>
    </row>
    <row r="61" spans="1:14" x14ac:dyDescent="0.55000000000000004">
      <c r="A61" s="5" t="str">
        <v>5701800   Appliance</v>
      </c>
      <c r="B61" s="30">
        <v>672.8</v>
      </c>
      <c r="C61" s="30">
        <v>483.61</v>
      </c>
      <c r="D61" s="30">
        <v>0</v>
      </c>
      <c r="E61" s="30">
        <v>402</v>
      </c>
      <c r="F61" s="30">
        <v>361.15</v>
      </c>
      <c r="G61" s="30">
        <v>78.180000000000007</v>
      </c>
      <c r="H61" s="30">
        <v>0</v>
      </c>
      <c r="I61" s="30">
        <v>0</v>
      </c>
      <c r="J61" s="30">
        <v>619.35</v>
      </c>
      <c r="K61" s="30">
        <v>416.09</v>
      </c>
      <c r="L61" s="30">
        <v>125.12</v>
      </c>
      <c r="M61" s="30">
        <v>419.02</v>
      </c>
      <c r="N61" s="31">
        <v>3577.32</v>
      </c>
    </row>
    <row r="62" spans="1:14" x14ac:dyDescent="0.55000000000000004">
      <c r="A62" s="5" t="str">
        <v>5701900   Mini-blinds</v>
      </c>
      <c r="B62" s="30">
        <v>8.51</v>
      </c>
      <c r="C62" s="30">
        <v>0</v>
      </c>
      <c r="D62" s="30">
        <v>680.42</v>
      </c>
      <c r="E62" s="30">
        <v>0</v>
      </c>
      <c r="F62" s="30">
        <v>0</v>
      </c>
      <c r="G62" s="30">
        <v>980.92</v>
      </c>
      <c r="H62" s="30">
        <v>0</v>
      </c>
      <c r="I62" s="30">
        <v>0</v>
      </c>
      <c r="J62" s="30">
        <v>280.35000000000002</v>
      </c>
      <c r="K62" s="30">
        <v>0</v>
      </c>
      <c r="L62" s="30">
        <v>0</v>
      </c>
      <c r="M62" s="30">
        <v>340.21</v>
      </c>
      <c r="N62" s="31">
        <v>2290.41</v>
      </c>
    </row>
    <row r="63" spans="1:14" x14ac:dyDescent="0.55000000000000004">
      <c r="A63" s="5" t="str">
        <v>5702100   Safety Equipment</v>
      </c>
      <c r="B63" s="30">
        <v>203.55</v>
      </c>
      <c r="C63" s="30">
        <v>0</v>
      </c>
      <c r="D63" s="30">
        <v>0</v>
      </c>
      <c r="E63" s="30">
        <v>0</v>
      </c>
      <c r="F63" s="30">
        <v>90.94</v>
      </c>
      <c r="G63" s="30">
        <v>0</v>
      </c>
      <c r="H63" s="30">
        <v>0</v>
      </c>
      <c r="I63" s="30">
        <v>0</v>
      </c>
      <c r="J63" s="30">
        <v>106.08</v>
      </c>
      <c r="K63" s="30">
        <v>0</v>
      </c>
      <c r="L63" s="30">
        <v>0</v>
      </c>
      <c r="M63" s="30">
        <v>51.92</v>
      </c>
      <c r="N63" s="31">
        <v>452.49</v>
      </c>
    </row>
    <row r="64" spans="1:14" x14ac:dyDescent="0.55000000000000004">
      <c r="A64" s="5" t="str">
        <v>5702300   Building Maintenance and Supplies</v>
      </c>
      <c r="B64" s="30">
        <v>345.07</v>
      </c>
      <c r="C64" s="30">
        <v>101.71</v>
      </c>
      <c r="D64" s="30">
        <v>0</v>
      </c>
      <c r="E64" s="30">
        <v>194.84</v>
      </c>
      <c r="F64" s="30">
        <v>554.79</v>
      </c>
      <c r="G64" s="30">
        <v>61.05</v>
      </c>
      <c r="H64" s="30">
        <v>0</v>
      </c>
      <c r="I64" s="30">
        <v>0</v>
      </c>
      <c r="J64" s="30">
        <v>0</v>
      </c>
      <c r="K64" s="30">
        <v>0</v>
      </c>
      <c r="L64" s="30">
        <v>49.72</v>
      </c>
      <c r="M64" s="30">
        <v>-53.17</v>
      </c>
      <c r="N64" s="31">
        <v>1254.01</v>
      </c>
    </row>
    <row r="65" spans="1:14" x14ac:dyDescent="0.55000000000000004">
      <c r="A65" s="5" t="str">
        <v>5702400   Light Bulbs and Accessories</v>
      </c>
      <c r="B65" s="30">
        <v>0</v>
      </c>
      <c r="C65" s="30">
        <v>0</v>
      </c>
      <c r="D65" s="30">
        <v>0</v>
      </c>
      <c r="E65" s="30">
        <v>423.63</v>
      </c>
      <c r="F65" s="30">
        <v>57.93</v>
      </c>
      <c r="G65" s="30">
        <v>330.04</v>
      </c>
      <c r="H65" s="30">
        <v>38.549999999999997</v>
      </c>
      <c r="I65" s="30">
        <v>0</v>
      </c>
      <c r="J65" s="30">
        <v>110.54</v>
      </c>
      <c r="K65" s="30">
        <v>77.12</v>
      </c>
      <c r="L65" s="30">
        <v>180.43</v>
      </c>
      <c r="M65" s="30">
        <v>29.42</v>
      </c>
      <c r="N65" s="31">
        <v>1247.6600000000001</v>
      </c>
    </row>
    <row r="66" spans="1:14" x14ac:dyDescent="0.55000000000000004">
      <c r="A66" s="5" t="str">
        <v>5702500   Locks and Keys</v>
      </c>
      <c r="B66" s="30">
        <v>238.26</v>
      </c>
      <c r="C66" s="30">
        <v>87.57</v>
      </c>
      <c r="D66" s="30">
        <v>0</v>
      </c>
      <c r="E66" s="30">
        <v>328.26</v>
      </c>
      <c r="F66" s="30">
        <v>234.19</v>
      </c>
      <c r="G66" s="30">
        <v>70.58</v>
      </c>
      <c r="H66" s="30">
        <v>0</v>
      </c>
      <c r="I66" s="30">
        <v>0</v>
      </c>
      <c r="J66" s="30">
        <v>0</v>
      </c>
      <c r="K66" s="30">
        <v>40.619999999999997</v>
      </c>
      <c r="L66" s="30">
        <v>69.709999999999994</v>
      </c>
      <c r="M66" s="30">
        <v>87.85</v>
      </c>
      <c r="N66" s="31">
        <v>1157.04</v>
      </c>
    </row>
    <row r="67" spans="1:14" x14ac:dyDescent="0.55000000000000004">
      <c r="A67" s="5" t="str">
        <v>5702600   Janitorial Service and Supplies</v>
      </c>
      <c r="B67" s="30">
        <v>140</v>
      </c>
      <c r="C67" s="30">
        <v>1367.4</v>
      </c>
      <c r="D67" s="30">
        <v>1195</v>
      </c>
      <c r="E67" s="30">
        <v>1258.54</v>
      </c>
      <c r="F67" s="30">
        <v>94.9</v>
      </c>
      <c r="G67" s="30">
        <v>3722.05</v>
      </c>
      <c r="H67" s="30">
        <v>545</v>
      </c>
      <c r="I67" s="30">
        <v>0</v>
      </c>
      <c r="J67" s="30">
        <v>77.709999999999994</v>
      </c>
      <c r="K67" s="30">
        <v>0</v>
      </c>
      <c r="L67" s="30">
        <v>1210</v>
      </c>
      <c r="M67" s="30">
        <v>125</v>
      </c>
      <c r="N67" s="31">
        <v>9735.6</v>
      </c>
    </row>
    <row r="68" spans="1:14" x14ac:dyDescent="0.55000000000000004">
      <c r="A68" s="5" t="str">
        <v>5702800   Paint-Purchase only</v>
      </c>
      <c r="B68" s="30">
        <v>0</v>
      </c>
      <c r="C68" s="30">
        <v>48.44</v>
      </c>
      <c r="D68" s="30">
        <v>0</v>
      </c>
      <c r="E68" s="30">
        <v>116.77</v>
      </c>
      <c r="F68" s="30">
        <v>67.040000000000006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33.53</v>
      </c>
      <c r="N68" s="31">
        <v>265.77999999999997</v>
      </c>
    </row>
    <row r="69" spans="1:14" x14ac:dyDescent="0.55000000000000004">
      <c r="A69" s="5" t="str">
        <v>5709901   Vendor Rebate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-88.57</v>
      </c>
      <c r="H69" s="30">
        <v>0</v>
      </c>
      <c r="I69" s="30">
        <v>0</v>
      </c>
      <c r="J69" s="30">
        <v>-830.06</v>
      </c>
      <c r="K69" s="30">
        <v>0</v>
      </c>
      <c r="L69" s="30">
        <v>0</v>
      </c>
      <c r="M69" s="30">
        <v>-95.17</v>
      </c>
      <c r="N69" s="31">
        <v>-1013.8</v>
      </c>
    </row>
    <row r="70" spans="1:14" x14ac:dyDescent="0.55000000000000004">
      <c r="A70" s="5" t="str">
        <v>Administrative</v>
      </c>
      <c r="B70" s="30" t="str">
        <v/>
      </c>
      <c r="C70" s="30" t="str">
        <v/>
      </c>
      <c r="D70" s="30" t="str">
        <v/>
      </c>
      <c r="E70" s="30" t="str">
        <v/>
      </c>
      <c r="F70" s="30" t="str">
        <v/>
      </c>
      <c r="G70" s="30" t="str">
        <v/>
      </c>
      <c r="H70" s="30" t="str">
        <v/>
      </c>
      <c r="I70" s="30" t="str">
        <v/>
      </c>
      <c r="J70" s="30" t="str">
        <v/>
      </c>
      <c r="K70" s="30" t="str">
        <v/>
      </c>
      <c r="L70" s="30" t="str">
        <v/>
      </c>
      <c r="M70" s="30" t="str">
        <v/>
      </c>
      <c r="N70" s="31" t="str">
        <v/>
      </c>
    </row>
    <row r="71" spans="1:14" x14ac:dyDescent="0.55000000000000004">
      <c r="A71" s="5" t="str">
        <v>5400100   Office Supplies/General</v>
      </c>
      <c r="B71" s="30">
        <v>10.8</v>
      </c>
      <c r="C71" s="30">
        <v>55.04</v>
      </c>
      <c r="D71" s="30">
        <v>263.47000000000003</v>
      </c>
      <c r="E71" s="30">
        <v>14.6</v>
      </c>
      <c r="F71" s="30">
        <v>638.36</v>
      </c>
      <c r="G71" s="30">
        <v>34.770000000000003</v>
      </c>
      <c r="H71" s="30">
        <v>16.899999999999999</v>
      </c>
      <c r="I71" s="30">
        <v>217.3</v>
      </c>
      <c r="J71" s="30">
        <v>9.4600000000000009</v>
      </c>
      <c r="K71" s="30">
        <v>9.6</v>
      </c>
      <c r="L71" s="30">
        <v>315.18</v>
      </c>
      <c r="M71" s="30">
        <v>10</v>
      </c>
      <c r="N71" s="31">
        <v>1595.48</v>
      </c>
    </row>
    <row r="72" spans="1:14" x14ac:dyDescent="0.55000000000000004">
      <c r="A72" s="5" t="str">
        <v>5400200   Postage</v>
      </c>
      <c r="B72" s="30">
        <v>0</v>
      </c>
      <c r="C72" s="30">
        <v>34.119999999999997</v>
      </c>
      <c r="D72" s="30">
        <v>90.12</v>
      </c>
      <c r="E72" s="30">
        <v>8.76</v>
      </c>
      <c r="F72" s="30">
        <v>23.68</v>
      </c>
      <c r="G72" s="30">
        <v>56.94</v>
      </c>
      <c r="H72" s="30">
        <v>28.57</v>
      </c>
      <c r="I72" s="30">
        <v>21.5</v>
      </c>
      <c r="J72" s="30">
        <v>42.99</v>
      </c>
      <c r="K72" s="30">
        <v>25.07</v>
      </c>
      <c r="L72" s="30">
        <v>64.13</v>
      </c>
      <c r="M72" s="30">
        <v>60.83</v>
      </c>
      <c r="N72" s="31">
        <v>456.71</v>
      </c>
    </row>
    <row r="73" spans="1:14" x14ac:dyDescent="0.55000000000000004">
      <c r="A73" s="5" t="str">
        <v>5400900   Auto and Travel</v>
      </c>
      <c r="B73" s="30">
        <v>148.74</v>
      </c>
      <c r="C73" s="30">
        <v>0</v>
      </c>
      <c r="D73" s="30">
        <v>200</v>
      </c>
      <c r="E73" s="30">
        <v>385</v>
      </c>
      <c r="F73" s="30">
        <v>1027.5999999999999</v>
      </c>
      <c r="G73" s="30">
        <v>0</v>
      </c>
      <c r="H73" s="30">
        <v>0</v>
      </c>
      <c r="I73" s="30">
        <v>189</v>
      </c>
      <c r="J73" s="30">
        <v>0</v>
      </c>
      <c r="K73" s="30">
        <v>837.2</v>
      </c>
      <c r="L73" s="30">
        <v>249.98</v>
      </c>
      <c r="M73" s="30">
        <v>0</v>
      </c>
      <c r="N73" s="31">
        <v>3037.52</v>
      </c>
    </row>
    <row r="74" spans="1:14" x14ac:dyDescent="0.55000000000000004">
      <c r="A74" s="5" t="str">
        <v>5401000   Dues and Subscription</v>
      </c>
      <c r="B74" s="30">
        <v>55.36</v>
      </c>
      <c r="C74" s="30">
        <v>0</v>
      </c>
      <c r="D74" s="30">
        <v>0</v>
      </c>
      <c r="E74" s="30">
        <v>134.56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796.31</v>
      </c>
      <c r="L74" s="30">
        <v>1592.6</v>
      </c>
      <c r="M74" s="30">
        <v>0</v>
      </c>
      <c r="N74" s="31">
        <v>2578.83</v>
      </c>
    </row>
    <row r="75" spans="1:14" x14ac:dyDescent="0.55000000000000004">
      <c r="A75" s="5" t="str">
        <v>5401200   Application Screening</v>
      </c>
      <c r="B75" s="30">
        <v>93.36</v>
      </c>
      <c r="C75" s="30">
        <v>93.36</v>
      </c>
      <c r="D75" s="30">
        <v>93.36</v>
      </c>
      <c r="E75" s="30">
        <v>93.36</v>
      </c>
      <c r="F75" s="30">
        <v>93.36</v>
      </c>
      <c r="G75" s="30">
        <v>93.36</v>
      </c>
      <c r="H75" s="30">
        <v>0</v>
      </c>
      <c r="I75" s="30">
        <v>6.81</v>
      </c>
      <c r="J75" s="30">
        <v>0</v>
      </c>
      <c r="K75" s="30">
        <v>3.2</v>
      </c>
      <c r="L75" s="30">
        <v>30.44</v>
      </c>
      <c r="M75" s="30">
        <v>30.44</v>
      </c>
      <c r="N75" s="31">
        <v>631.04999999999995</v>
      </c>
    </row>
    <row r="76" spans="1:14" x14ac:dyDescent="0.55000000000000004">
      <c r="A76" s="5" t="str">
        <v>5401300   Legal and Professional</v>
      </c>
      <c r="B76" s="30">
        <v>0</v>
      </c>
      <c r="C76" s="30">
        <v>2482.98</v>
      </c>
      <c r="D76" s="30">
        <v>0</v>
      </c>
      <c r="E76" s="30">
        <v>0</v>
      </c>
      <c r="F76" s="30">
        <v>0</v>
      </c>
      <c r="G76" s="30">
        <v>0</v>
      </c>
      <c r="H76" s="30">
        <v>1696.25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1">
        <v>4179.2299999999996</v>
      </c>
    </row>
    <row r="77" spans="1:14" x14ac:dyDescent="0.55000000000000004">
      <c r="A77" s="5" t="str">
        <v>5401400   Evictions</v>
      </c>
      <c r="B77" s="30">
        <v>200</v>
      </c>
      <c r="C77" s="30">
        <v>188.95</v>
      </c>
      <c r="D77" s="30">
        <v>0</v>
      </c>
      <c r="E77" s="30">
        <v>0</v>
      </c>
      <c r="F77" s="30">
        <v>0</v>
      </c>
      <c r="G77" s="30">
        <v>0</v>
      </c>
      <c r="H77" s="30">
        <v>154.22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1">
        <v>543.16999999999996</v>
      </c>
    </row>
    <row r="78" spans="1:14" x14ac:dyDescent="0.55000000000000004">
      <c r="A78" s="5" t="str">
        <v>5401700   Computer Fees/Permits</v>
      </c>
      <c r="B78" s="30">
        <v>728.9</v>
      </c>
      <c r="C78" s="30">
        <v>27.76</v>
      </c>
      <c r="D78" s="30">
        <v>904.74</v>
      </c>
      <c r="E78" s="30">
        <v>872.29</v>
      </c>
      <c r="F78" s="30">
        <v>223.25</v>
      </c>
      <c r="G78" s="30">
        <v>101.27</v>
      </c>
      <c r="H78" s="30">
        <v>218.67</v>
      </c>
      <c r="I78" s="30">
        <v>2043.21</v>
      </c>
      <c r="J78" s="30">
        <v>190.01</v>
      </c>
      <c r="K78" s="30">
        <v>128.94999999999999</v>
      </c>
      <c r="L78" s="30">
        <v>721.66</v>
      </c>
      <c r="M78" s="30">
        <v>755.99</v>
      </c>
      <c r="N78" s="31">
        <v>6916.7</v>
      </c>
    </row>
    <row r="79" spans="1:14" x14ac:dyDescent="0.55000000000000004">
      <c r="A79" s="5" t="str">
        <v>5401900   Bank Charges</v>
      </c>
      <c r="B79" s="30">
        <v>164.7</v>
      </c>
      <c r="C79" s="30">
        <v>195.23</v>
      </c>
      <c r="D79" s="30">
        <v>184.09</v>
      </c>
      <c r="E79" s="30">
        <v>164.41</v>
      </c>
      <c r="F79" s="30">
        <v>234.88</v>
      </c>
      <c r="G79" s="30">
        <v>158.19999999999999</v>
      </c>
      <c r="H79" s="30">
        <v>130.54</v>
      </c>
      <c r="I79" s="30">
        <v>137.27000000000001</v>
      </c>
      <c r="J79" s="30">
        <v>186.47</v>
      </c>
      <c r="K79" s="30">
        <v>188.54</v>
      </c>
      <c r="L79" s="30">
        <v>142.34</v>
      </c>
      <c r="M79" s="30">
        <v>106.75</v>
      </c>
      <c r="N79" s="31">
        <v>1993.42</v>
      </c>
    </row>
    <row r="80" spans="1:14" x14ac:dyDescent="0.55000000000000004">
      <c r="A80" s="5" t="str">
        <v>5402000   Employee Relations</v>
      </c>
      <c r="B80" s="30">
        <v>26.52</v>
      </c>
      <c r="C80" s="30">
        <v>0</v>
      </c>
      <c r="D80" s="30">
        <v>230.17</v>
      </c>
      <c r="E80" s="30">
        <v>226.67</v>
      </c>
      <c r="F80" s="30">
        <v>0</v>
      </c>
      <c r="G80" s="30">
        <v>0</v>
      </c>
      <c r="H80" s="30">
        <v>475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1">
        <v>958.36</v>
      </c>
    </row>
    <row r="81" spans="1:14" x14ac:dyDescent="0.55000000000000004">
      <c r="A81" s="5" t="str">
        <v>Marketing</v>
      </c>
      <c r="B81" s="30" t="str">
        <v/>
      </c>
      <c r="C81" s="30" t="str">
        <v/>
      </c>
      <c r="D81" s="30" t="str">
        <v/>
      </c>
      <c r="E81" s="30" t="str">
        <v/>
      </c>
      <c r="F81" s="30" t="str">
        <v/>
      </c>
      <c r="G81" s="30" t="str">
        <v/>
      </c>
      <c r="H81" s="30" t="str">
        <v/>
      </c>
      <c r="I81" s="30" t="str">
        <v/>
      </c>
      <c r="J81" s="30" t="str">
        <v/>
      </c>
      <c r="K81" s="30" t="str">
        <v/>
      </c>
      <c r="L81" s="30" t="str">
        <v/>
      </c>
      <c r="M81" s="30" t="str">
        <v/>
      </c>
      <c r="N81" s="31" t="str">
        <v/>
      </c>
    </row>
    <row r="82" spans="1:14" x14ac:dyDescent="0.55000000000000004">
      <c r="A82" s="5" t="str">
        <v>5600200   Advertising Media</v>
      </c>
      <c r="B82" s="30">
        <v>0</v>
      </c>
      <c r="C82" s="30">
        <v>0</v>
      </c>
      <c r="D82" s="30">
        <v>0</v>
      </c>
      <c r="E82" s="30">
        <v>1377.78</v>
      </c>
      <c r="F82" s="30">
        <v>908</v>
      </c>
      <c r="G82" s="30">
        <v>0</v>
      </c>
      <c r="H82" s="30">
        <v>0</v>
      </c>
      <c r="I82" s="30">
        <v>0</v>
      </c>
      <c r="J82" s="30">
        <v>1816</v>
      </c>
      <c r="K82" s="30">
        <v>0</v>
      </c>
      <c r="L82" s="30">
        <v>908</v>
      </c>
      <c r="M82" s="30">
        <v>454</v>
      </c>
      <c r="N82" s="31">
        <v>5463.78</v>
      </c>
    </row>
    <row r="83" spans="1:14" x14ac:dyDescent="0.55000000000000004">
      <c r="A83" s="5" t="str">
        <v>5600500   Mini Model</v>
      </c>
      <c r="B83" s="30">
        <v>0</v>
      </c>
      <c r="C83" s="30">
        <v>0</v>
      </c>
      <c r="D83" s="30">
        <v>0</v>
      </c>
      <c r="E83" s="30">
        <v>141.25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1">
        <v>141.25</v>
      </c>
    </row>
    <row r="84" spans="1:14" x14ac:dyDescent="0.55000000000000004">
      <c r="A84" s="5" t="str">
        <v>5600900   Signs and Banners</v>
      </c>
      <c r="B84" s="30">
        <v>0</v>
      </c>
      <c r="C84" s="30">
        <v>998.08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1">
        <v>998.08</v>
      </c>
    </row>
    <row r="85" spans="1:14" x14ac:dyDescent="0.55000000000000004">
      <c r="A85" s="5" t="str">
        <v>5610400   Resident Relations</v>
      </c>
      <c r="B85" s="30">
        <v>0</v>
      </c>
      <c r="C85" s="30">
        <v>0</v>
      </c>
      <c r="D85" s="30">
        <v>127.55</v>
      </c>
      <c r="E85" s="30">
        <v>0</v>
      </c>
      <c r="F85" s="30">
        <v>138.5</v>
      </c>
      <c r="G85" s="30">
        <v>0</v>
      </c>
      <c r="H85" s="30">
        <v>0</v>
      </c>
      <c r="I85" s="30">
        <v>0</v>
      </c>
      <c r="J85" s="30">
        <v>250</v>
      </c>
      <c r="K85" s="30">
        <v>0</v>
      </c>
      <c r="L85" s="30">
        <v>0</v>
      </c>
      <c r="M85" s="30">
        <v>0</v>
      </c>
      <c r="N85" s="31">
        <v>516.04999999999995</v>
      </c>
    </row>
    <row r="86" spans="1:14" x14ac:dyDescent="0.55000000000000004">
      <c r="A86" s="5" t="str">
        <v>5610600   Marketing Materials</v>
      </c>
      <c r="B86" s="30">
        <v>0</v>
      </c>
      <c r="C86" s="30">
        <v>473.05</v>
      </c>
      <c r="D86" s="30">
        <v>127.55</v>
      </c>
      <c r="E86" s="30">
        <v>0</v>
      </c>
      <c r="F86" s="30">
        <v>37.49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1">
        <v>638.09</v>
      </c>
    </row>
    <row r="87" spans="1:14" x14ac:dyDescent="0.55000000000000004">
      <c r="A87" s="5" t="str">
        <v>Payroll</v>
      </c>
      <c r="B87" s="30" t="str">
        <v/>
      </c>
      <c r="C87" s="30" t="str">
        <v/>
      </c>
      <c r="D87" s="30" t="str">
        <v/>
      </c>
      <c r="E87" s="30" t="str">
        <v/>
      </c>
      <c r="F87" s="30" t="str">
        <v/>
      </c>
      <c r="G87" s="30" t="str">
        <v/>
      </c>
      <c r="H87" s="30" t="str">
        <v/>
      </c>
      <c r="I87" s="30" t="str">
        <v/>
      </c>
      <c r="J87" s="30" t="str">
        <v/>
      </c>
      <c r="K87" s="30" t="str">
        <v/>
      </c>
      <c r="L87" s="30" t="str">
        <v/>
      </c>
      <c r="M87" s="30" t="str">
        <v/>
      </c>
      <c r="N87" s="31" t="str">
        <v/>
      </c>
    </row>
    <row r="88" spans="1:14" x14ac:dyDescent="0.55000000000000004">
      <c r="A88" s="5" t="str">
        <v>5100100   Managers and Assistants</v>
      </c>
      <c r="B88" s="30">
        <v>1341.2</v>
      </c>
      <c r="C88" s="30">
        <v>1152.2</v>
      </c>
      <c r="D88" s="30">
        <v>4463.55</v>
      </c>
      <c r="E88" s="30">
        <v>3231.2</v>
      </c>
      <c r="F88" s="30">
        <v>3735.21</v>
      </c>
      <c r="G88" s="30">
        <v>3939.96</v>
      </c>
      <c r="H88" s="30">
        <v>3627.58</v>
      </c>
      <c r="I88" s="30">
        <v>5111.93</v>
      </c>
      <c r="J88" s="30">
        <v>3638.08</v>
      </c>
      <c r="K88" s="30">
        <v>4464.96</v>
      </c>
      <c r="L88" s="30">
        <v>3900.58</v>
      </c>
      <c r="M88" s="30">
        <v>2535.58</v>
      </c>
      <c r="N88" s="31">
        <v>41142.03</v>
      </c>
    </row>
    <row r="89" spans="1:14" x14ac:dyDescent="0.55000000000000004">
      <c r="A89" s="5" t="str">
        <v>5100200   Leasing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1277.72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1">
        <v>1277.72</v>
      </c>
    </row>
    <row r="90" spans="1:14" x14ac:dyDescent="0.55000000000000004">
      <c r="A90" s="5" t="str">
        <v>5100600   General Maintenance Salaries</v>
      </c>
      <c r="B90" s="30">
        <v>0</v>
      </c>
      <c r="C90" s="30">
        <v>769.45</v>
      </c>
      <c r="D90" s="30">
        <v>454.35</v>
      </c>
      <c r="E90" s="30">
        <v>1214.27</v>
      </c>
      <c r="F90" s="30">
        <v>214.5</v>
      </c>
      <c r="G90" s="30">
        <v>3322.8</v>
      </c>
      <c r="H90" s="30">
        <v>1238.45</v>
      </c>
      <c r="I90" s="30">
        <v>0</v>
      </c>
      <c r="J90" s="30">
        <v>390</v>
      </c>
      <c r="K90" s="30">
        <v>2930.13</v>
      </c>
      <c r="L90" s="30">
        <v>0</v>
      </c>
      <c r="M90" s="30">
        <v>1733.56</v>
      </c>
      <c r="N90" s="31">
        <v>12267.51</v>
      </c>
    </row>
    <row r="91" spans="1:14" x14ac:dyDescent="0.55000000000000004">
      <c r="A91" s="5" t="str">
        <v>5100900   Incentives</v>
      </c>
      <c r="B91" s="30">
        <v>0</v>
      </c>
      <c r="C91" s="30">
        <v>400</v>
      </c>
      <c r="D91" s="30">
        <v>0</v>
      </c>
      <c r="E91" s="30">
        <v>1800</v>
      </c>
      <c r="F91" s="30">
        <v>1100</v>
      </c>
      <c r="G91" s="30">
        <v>600</v>
      </c>
      <c r="H91" s="30">
        <v>300</v>
      </c>
      <c r="I91" s="30">
        <v>0</v>
      </c>
      <c r="J91" s="30">
        <v>480</v>
      </c>
      <c r="K91" s="30">
        <v>1080</v>
      </c>
      <c r="L91" s="30">
        <v>120</v>
      </c>
      <c r="M91" s="30">
        <v>135</v>
      </c>
      <c r="N91" s="31">
        <v>6015</v>
      </c>
    </row>
    <row r="92" spans="1:14" x14ac:dyDescent="0.55000000000000004">
      <c r="A92" s="5" t="str">
        <v>5280000   Payroll Taxes</v>
      </c>
      <c r="B92" s="30">
        <v>153.51</v>
      </c>
      <c r="C92" s="30">
        <v>178.7</v>
      </c>
      <c r="D92" s="30">
        <v>350.5</v>
      </c>
      <c r="E92" s="30">
        <v>423.56</v>
      </c>
      <c r="F92" s="30">
        <v>380.46</v>
      </c>
      <c r="G92" s="30">
        <v>341.75</v>
      </c>
      <c r="H92" s="30">
        <v>271.95</v>
      </c>
      <c r="I92" s="30">
        <v>666.79</v>
      </c>
      <c r="J92" s="30">
        <v>520.01</v>
      </c>
      <c r="K92" s="30">
        <v>435.68</v>
      </c>
      <c r="L92" s="30">
        <v>300.16000000000003</v>
      </c>
      <c r="M92" s="30">
        <v>200.95</v>
      </c>
      <c r="N92" s="31">
        <v>4224.0200000000004</v>
      </c>
    </row>
    <row r="93" spans="1:14" x14ac:dyDescent="0.55000000000000004">
      <c r="A93" s="5" t="str">
        <v>5280100   Workers Compensation</v>
      </c>
      <c r="B93" s="30">
        <v>23.36</v>
      </c>
      <c r="C93" s="30">
        <v>2.14</v>
      </c>
      <c r="D93" s="30">
        <v>2.48</v>
      </c>
      <c r="E93" s="30">
        <v>7.11</v>
      </c>
      <c r="F93" s="30">
        <v>27.14</v>
      </c>
      <c r="G93" s="30">
        <v>14.83</v>
      </c>
      <c r="H93" s="30">
        <v>7.24</v>
      </c>
      <c r="I93" s="30">
        <v>5.79</v>
      </c>
      <c r="J93" s="30">
        <v>4.76</v>
      </c>
      <c r="K93" s="30">
        <v>19.420000000000002</v>
      </c>
      <c r="L93" s="30">
        <v>18.13</v>
      </c>
      <c r="M93" s="30">
        <v>9.49</v>
      </c>
      <c r="N93" s="31">
        <v>141.88999999999999</v>
      </c>
    </row>
    <row r="94" spans="1:14" x14ac:dyDescent="0.55000000000000004">
      <c r="A94" s="5" t="str">
        <v>Water/Sewer</v>
      </c>
      <c r="B94" s="30" t="str">
        <v/>
      </c>
      <c r="C94" s="30" t="str">
        <v/>
      </c>
      <c r="D94" s="30" t="str">
        <v/>
      </c>
      <c r="E94" s="30" t="str">
        <v/>
      </c>
      <c r="F94" s="30" t="str">
        <v/>
      </c>
      <c r="G94" s="30" t="str">
        <v/>
      </c>
      <c r="H94" s="30" t="str">
        <v/>
      </c>
      <c r="I94" s="30" t="str">
        <v/>
      </c>
      <c r="J94" s="30" t="str">
        <v/>
      </c>
      <c r="K94" s="30" t="str">
        <v/>
      </c>
      <c r="L94" s="30" t="str">
        <v/>
      </c>
      <c r="M94" s="30" t="str">
        <v/>
      </c>
      <c r="N94" s="31" t="str">
        <v/>
      </c>
    </row>
    <row r="95" spans="1:14" x14ac:dyDescent="0.55000000000000004">
      <c r="A95" s="5" t="str">
        <v>5800300   Water</v>
      </c>
      <c r="B95" s="30">
        <v>6843.75</v>
      </c>
      <c r="C95" s="30">
        <v>5492.7</v>
      </c>
      <c r="D95" s="30">
        <v>5674.43</v>
      </c>
      <c r="E95" s="30">
        <v>5635.35</v>
      </c>
      <c r="F95" s="30">
        <v>6209.14</v>
      </c>
      <c r="G95" s="30">
        <v>5149.47</v>
      </c>
      <c r="H95" s="30">
        <v>5405.45</v>
      </c>
      <c r="I95" s="30">
        <v>5337.29</v>
      </c>
      <c r="J95" s="30">
        <v>5551.64</v>
      </c>
      <c r="K95" s="30">
        <v>5448.33</v>
      </c>
      <c r="L95" s="30">
        <v>5432.76</v>
      </c>
      <c r="M95" s="30">
        <v>5831.32</v>
      </c>
      <c r="N95" s="31">
        <v>68011.63</v>
      </c>
    </row>
    <row r="96" spans="1:14" x14ac:dyDescent="0.55000000000000004">
      <c r="A96" s="5" t="str">
        <v>Trash</v>
      </c>
      <c r="B96" s="30" t="str">
        <v/>
      </c>
      <c r="C96" s="30" t="str">
        <v/>
      </c>
      <c r="D96" s="30" t="str">
        <v/>
      </c>
      <c r="E96" s="30" t="str">
        <v/>
      </c>
      <c r="F96" s="30" t="str">
        <v/>
      </c>
      <c r="G96" s="30" t="str">
        <v/>
      </c>
      <c r="H96" s="30" t="str">
        <v/>
      </c>
      <c r="I96" s="30" t="str">
        <v/>
      </c>
      <c r="J96" s="30" t="str">
        <v/>
      </c>
      <c r="K96" s="30" t="str">
        <v/>
      </c>
      <c r="L96" s="30" t="str">
        <v/>
      </c>
      <c r="M96" s="30" t="str">
        <v/>
      </c>
      <c r="N96" s="31" t="str">
        <v/>
      </c>
    </row>
    <row r="97" spans="1:14" x14ac:dyDescent="0.55000000000000004">
      <c r="A97" s="5" t="str">
        <v>5800400   Trash Removal</v>
      </c>
      <c r="B97" s="30">
        <v>0</v>
      </c>
      <c r="C97" s="30">
        <v>1518</v>
      </c>
      <c r="D97" s="30">
        <v>2418</v>
      </c>
      <c r="E97" s="30">
        <v>1518</v>
      </c>
      <c r="F97" s="30">
        <v>2440.5500000000002</v>
      </c>
      <c r="G97" s="30">
        <v>1518</v>
      </c>
      <c r="H97" s="30">
        <v>1624.2</v>
      </c>
      <c r="I97" s="30">
        <v>1624.2</v>
      </c>
      <c r="J97" s="30">
        <v>2629.26</v>
      </c>
      <c r="K97" s="30">
        <v>1624.2</v>
      </c>
      <c r="L97" s="30">
        <v>1624</v>
      </c>
      <c r="M97" s="30">
        <v>1624.2</v>
      </c>
      <c r="N97" s="31">
        <v>20162.61</v>
      </c>
    </row>
    <row r="98" spans="1:14" x14ac:dyDescent="0.55000000000000004">
      <c r="A98" s="5" t="str">
        <v>5800401   Valet Trash</v>
      </c>
      <c r="B98" s="30">
        <v>856.6</v>
      </c>
      <c r="C98" s="30">
        <v>2550.79</v>
      </c>
      <c r="D98" s="30">
        <v>0</v>
      </c>
      <c r="E98" s="30">
        <v>772.55</v>
      </c>
      <c r="F98" s="30">
        <v>772.55</v>
      </c>
      <c r="G98" s="30">
        <v>918.53</v>
      </c>
      <c r="H98" s="30">
        <v>918.53</v>
      </c>
      <c r="I98" s="30">
        <v>263.47000000000003</v>
      </c>
      <c r="J98" s="30">
        <v>830.06</v>
      </c>
      <c r="K98" s="30">
        <v>200</v>
      </c>
      <c r="L98" s="30">
        <v>1080.06</v>
      </c>
      <c r="M98" s="30">
        <v>968.53</v>
      </c>
      <c r="N98" s="31">
        <v>10131.67</v>
      </c>
    </row>
    <row r="99" spans="1:14" x14ac:dyDescent="0.55000000000000004">
      <c r="A99" s="5" t="str">
        <v>Electric</v>
      </c>
      <c r="B99" s="30" t="str">
        <v/>
      </c>
      <c r="C99" s="30" t="str">
        <v/>
      </c>
      <c r="D99" s="30" t="str">
        <v/>
      </c>
      <c r="E99" s="30" t="str">
        <v/>
      </c>
      <c r="F99" s="30" t="str">
        <v/>
      </c>
      <c r="G99" s="30" t="str">
        <v/>
      </c>
      <c r="H99" s="30" t="str">
        <v/>
      </c>
      <c r="I99" s="30" t="str">
        <v/>
      </c>
      <c r="J99" s="30" t="str">
        <v/>
      </c>
      <c r="K99" s="30" t="str">
        <v/>
      </c>
      <c r="L99" s="30" t="str">
        <v/>
      </c>
      <c r="M99" s="30" t="str">
        <v/>
      </c>
      <c r="N99" s="31" t="str">
        <v/>
      </c>
    </row>
    <row r="100" spans="1:14" x14ac:dyDescent="0.55000000000000004">
      <c r="A100" s="5" t="str">
        <v>5800100   Electricity</v>
      </c>
      <c r="B100" s="30">
        <v>618.29999999999995</v>
      </c>
      <c r="C100" s="30">
        <v>552.71</v>
      </c>
      <c r="D100" s="30">
        <v>638.36</v>
      </c>
      <c r="E100" s="30">
        <v>347.37</v>
      </c>
      <c r="F100" s="30">
        <v>648.03</v>
      </c>
      <c r="G100" s="30">
        <v>582.23</v>
      </c>
      <c r="H100" s="30">
        <v>513.13</v>
      </c>
      <c r="I100" s="30">
        <v>648.6</v>
      </c>
      <c r="J100" s="30">
        <v>622.88</v>
      </c>
      <c r="K100" s="30">
        <v>522.52</v>
      </c>
      <c r="L100" s="30">
        <v>517.48</v>
      </c>
      <c r="M100" s="30">
        <v>673.93</v>
      </c>
      <c r="N100" s="31">
        <v>6885.54</v>
      </c>
    </row>
    <row r="101" spans="1:14" x14ac:dyDescent="0.55000000000000004">
      <c r="A101" s="5" t="str">
        <v>5800101   Electricity - Vacant</v>
      </c>
      <c r="B101" s="30">
        <v>579.94000000000005</v>
      </c>
      <c r="C101" s="30">
        <v>830.21</v>
      </c>
      <c r="D101" s="30">
        <v>962.24</v>
      </c>
      <c r="E101" s="30">
        <v>1640.88</v>
      </c>
      <c r="F101" s="30">
        <v>866.55</v>
      </c>
      <c r="G101" s="30">
        <v>1067.5</v>
      </c>
      <c r="H101" s="30">
        <v>512.09</v>
      </c>
      <c r="I101" s="30">
        <v>196.11</v>
      </c>
      <c r="J101" s="30">
        <v>-858.19</v>
      </c>
      <c r="K101" s="30">
        <v>422.7</v>
      </c>
      <c r="L101" s="30">
        <v>261.8</v>
      </c>
      <c r="M101" s="30">
        <v>241.75</v>
      </c>
      <c r="N101" s="31">
        <v>6723.58</v>
      </c>
    </row>
    <row r="102" spans="1:14" x14ac:dyDescent="0.55000000000000004">
      <c r="A102" s="5" t="str">
        <v>Gas/Other</v>
      </c>
      <c r="B102" s="30" t="str">
        <v/>
      </c>
      <c r="C102" s="30" t="str">
        <v/>
      </c>
      <c r="D102" s="30" t="str">
        <v/>
      </c>
      <c r="E102" s="30" t="str">
        <v/>
      </c>
      <c r="F102" s="30" t="str">
        <v/>
      </c>
      <c r="G102" s="30" t="str">
        <v/>
      </c>
      <c r="H102" s="30" t="str">
        <v/>
      </c>
      <c r="I102" s="30" t="str">
        <v/>
      </c>
      <c r="J102" s="30" t="str">
        <v/>
      </c>
      <c r="K102" s="30" t="str">
        <v/>
      </c>
      <c r="L102" s="30" t="str">
        <v/>
      </c>
      <c r="M102" s="30" t="str">
        <v/>
      </c>
      <c r="N102" s="31" t="str">
        <v/>
      </c>
    </row>
    <row r="103" spans="1:14" x14ac:dyDescent="0.55000000000000004">
      <c r="A103" s="5" t="str">
        <v>5800500   Telephone</v>
      </c>
      <c r="B103" s="30">
        <v>100.28</v>
      </c>
      <c r="C103" s="30">
        <v>73.87</v>
      </c>
      <c r="D103" s="30">
        <v>73.63</v>
      </c>
      <c r="E103" s="30">
        <v>59.92</v>
      </c>
      <c r="F103" s="30">
        <v>60.28</v>
      </c>
      <c r="G103" s="30">
        <v>480.09</v>
      </c>
      <c r="H103" s="30">
        <v>60.34</v>
      </c>
      <c r="I103" s="30">
        <v>60.34</v>
      </c>
      <c r="J103" s="30">
        <v>60.33</v>
      </c>
      <c r="K103" s="30">
        <v>60.33</v>
      </c>
      <c r="L103" s="30">
        <v>60.33</v>
      </c>
      <c r="M103" s="30">
        <v>280.79000000000002</v>
      </c>
      <c r="N103" s="31">
        <v>1430.53</v>
      </c>
    </row>
    <row r="104" spans="1:14" x14ac:dyDescent="0.55000000000000004">
      <c r="A104" s="5" t="str">
        <v>Management Fee</v>
      </c>
      <c r="B104" s="30" t="str">
        <v/>
      </c>
      <c r="C104" s="30" t="str">
        <v/>
      </c>
      <c r="D104" s="30" t="str">
        <v/>
      </c>
      <c r="E104" s="30" t="str">
        <v/>
      </c>
      <c r="F104" s="30" t="str">
        <v/>
      </c>
      <c r="G104" s="30" t="str">
        <v/>
      </c>
      <c r="H104" s="30" t="str">
        <v/>
      </c>
      <c r="I104" s="30" t="str">
        <v/>
      </c>
      <c r="J104" s="30" t="str">
        <v/>
      </c>
      <c r="K104" s="30" t="str">
        <v/>
      </c>
      <c r="L104" s="30" t="str">
        <v/>
      </c>
      <c r="M104" s="30" t="str">
        <v/>
      </c>
      <c r="N104" s="31" t="str">
        <v/>
      </c>
    </row>
    <row r="105" spans="1:14" x14ac:dyDescent="0.55000000000000004">
      <c r="A105" s="5" t="str">
        <v>5900100   Management Fees</v>
      </c>
      <c r="B105" s="30">
        <v>2995.38</v>
      </c>
      <c r="C105" s="30">
        <v>2826.21</v>
      </c>
      <c r="D105" s="30">
        <v>2403.2199999999998</v>
      </c>
      <c r="E105" s="30">
        <v>3412.64</v>
      </c>
      <c r="F105" s="30">
        <v>3684.59</v>
      </c>
      <c r="G105" s="30">
        <v>4107</v>
      </c>
      <c r="H105" s="30">
        <v>4022.19</v>
      </c>
      <c r="I105" s="30">
        <v>4275.63</v>
      </c>
      <c r="J105" s="30">
        <v>4190.84</v>
      </c>
      <c r="K105" s="30">
        <v>4152.2299999999996</v>
      </c>
      <c r="L105" s="30">
        <v>4019.53</v>
      </c>
      <c r="M105" s="30">
        <v>4028.37</v>
      </c>
      <c r="N105" s="31">
        <v>44117.83</v>
      </c>
    </row>
    <row r="106" spans="1:14" x14ac:dyDescent="0.55000000000000004">
      <c r="A106" s="5" t="str">
        <v>Insurance</v>
      </c>
      <c r="B106" s="30" t="str">
        <v/>
      </c>
      <c r="C106" s="30" t="str">
        <v/>
      </c>
      <c r="D106" s="30" t="str">
        <v/>
      </c>
      <c r="E106" s="30" t="str">
        <v/>
      </c>
      <c r="F106" s="30" t="str">
        <v/>
      </c>
      <c r="G106" s="30" t="str">
        <v/>
      </c>
      <c r="H106" s="30" t="str">
        <v/>
      </c>
      <c r="I106" s="30" t="str">
        <v/>
      </c>
      <c r="J106" s="30" t="str">
        <v/>
      </c>
      <c r="K106" s="30" t="str">
        <v/>
      </c>
      <c r="L106" s="30" t="str">
        <v/>
      </c>
      <c r="M106" s="30" t="str">
        <v/>
      </c>
      <c r="N106" s="31" t="str">
        <v/>
      </c>
    </row>
    <row r="107" spans="1:14" x14ac:dyDescent="0.55000000000000004">
      <c r="A107" s="5" t="str">
        <v>6300100   Insurance</v>
      </c>
      <c r="B107" s="30">
        <v>0</v>
      </c>
      <c r="C107" s="30">
        <v>0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3346.78</v>
      </c>
      <c r="J107" s="30">
        <v>3346.78</v>
      </c>
      <c r="K107" s="30">
        <v>3346.78</v>
      </c>
      <c r="L107" s="30">
        <v>3346.78</v>
      </c>
      <c r="M107" s="30">
        <v>3346.78</v>
      </c>
      <c r="N107" s="31">
        <v>16733.900000000001</v>
      </c>
    </row>
    <row r="108" spans="1:14" x14ac:dyDescent="0.55000000000000004">
      <c r="A108" s="5" t="str">
        <v>Real Estate Taxes</v>
      </c>
      <c r="B108" s="30" t="str">
        <v/>
      </c>
      <c r="C108" s="30" t="str">
        <v/>
      </c>
      <c r="D108" s="30" t="str">
        <v/>
      </c>
      <c r="E108" s="30" t="str">
        <v/>
      </c>
      <c r="F108" s="30" t="str">
        <v/>
      </c>
      <c r="G108" s="30" t="str">
        <v/>
      </c>
      <c r="H108" s="30" t="str">
        <v/>
      </c>
      <c r="I108" s="30" t="str">
        <v/>
      </c>
      <c r="J108" s="30" t="str">
        <v/>
      </c>
      <c r="K108" s="30" t="str">
        <v/>
      </c>
      <c r="L108" s="30" t="str">
        <v/>
      </c>
      <c r="M108" s="30" t="str">
        <v/>
      </c>
      <c r="N108" s="31" t="str">
        <v/>
      </c>
    </row>
    <row r="109" spans="1:14" x14ac:dyDescent="0.55000000000000004">
      <c r="A109" s="5" t="str">
        <v>6200100   Property Taxes</v>
      </c>
      <c r="B109" s="30">
        <v>7867.13</v>
      </c>
      <c r="C109" s="30">
        <v>7867.13</v>
      </c>
      <c r="D109" s="30">
        <v>7867.13</v>
      </c>
      <c r="E109" s="30">
        <v>7867.13</v>
      </c>
      <c r="F109" s="30">
        <v>7867.13</v>
      </c>
      <c r="G109" s="30">
        <v>7867.13</v>
      </c>
      <c r="H109" s="30">
        <v>21857.1</v>
      </c>
      <c r="I109" s="30">
        <v>9033</v>
      </c>
      <c r="J109" s="30">
        <v>9033</v>
      </c>
      <c r="K109" s="30">
        <v>9033</v>
      </c>
      <c r="L109" s="30">
        <v>9033</v>
      </c>
      <c r="M109" s="30">
        <v>9033</v>
      </c>
      <c r="N109" s="31">
        <v>114224.88</v>
      </c>
    </row>
    <row r="110" spans="1:14" x14ac:dyDescent="0.55000000000000004">
      <c r="A110" s="5" t="str">
        <v>Total Expense</v>
      </c>
      <c r="B110" s="30">
        <v>28395.29</v>
      </c>
      <c r="C110" s="30">
        <v>40113.74</v>
      </c>
      <c r="D110" s="30">
        <v>33884.980000000003</v>
      </c>
      <c r="E110" s="30">
        <v>44985.02</v>
      </c>
      <c r="F110" s="30">
        <v>45515.57</v>
      </c>
      <c r="G110" s="30">
        <v>42881.02</v>
      </c>
      <c r="H110" s="30">
        <v>47566.48</v>
      </c>
      <c r="I110" s="30">
        <v>36949.24</v>
      </c>
      <c r="J110" s="30">
        <v>36669.870000000003</v>
      </c>
      <c r="K110" s="30">
        <v>44844.480000000003</v>
      </c>
      <c r="L110" s="30">
        <v>42761.07</v>
      </c>
      <c r="M110" s="30">
        <v>38450.379999999997</v>
      </c>
      <c r="N110" s="31">
        <v>483017.14</v>
      </c>
    </row>
    <row r="111" spans="1:14" x14ac:dyDescent="0.55000000000000004">
      <c r="A111" s="5" t="str">
        <v/>
      </c>
      <c r="B111" s="30" t="str">
        <v/>
      </c>
      <c r="C111" s="30" t="str">
        <v/>
      </c>
      <c r="D111" s="30" t="str">
        <v/>
      </c>
      <c r="E111" s="30" t="str">
        <v/>
      </c>
      <c r="F111" s="30" t="str">
        <v/>
      </c>
      <c r="G111" s="30" t="str">
        <v/>
      </c>
      <c r="H111" s="30" t="str">
        <v/>
      </c>
      <c r="I111" s="30" t="str">
        <v/>
      </c>
      <c r="J111" s="30" t="str">
        <v/>
      </c>
      <c r="K111" s="30" t="str">
        <v/>
      </c>
      <c r="L111" s="30" t="str">
        <v/>
      </c>
      <c r="M111" s="30" t="str">
        <v/>
      </c>
      <c r="N111" s="31" t="str">
        <v/>
      </c>
    </row>
    <row r="112" spans="1:14" x14ac:dyDescent="0.55000000000000004">
      <c r="A112" s="5" t="str">
        <v>Net Operating Income</v>
      </c>
      <c r="B112" s="30">
        <v>46489.18</v>
      </c>
      <c r="C112" s="30">
        <v>30541.51</v>
      </c>
      <c r="D112" s="30">
        <v>26195.63</v>
      </c>
      <c r="E112" s="30">
        <v>40330.92</v>
      </c>
      <c r="F112" s="30">
        <v>46599.27</v>
      </c>
      <c r="G112" s="30">
        <v>59794</v>
      </c>
      <c r="H112" s="30">
        <v>53488.29</v>
      </c>
      <c r="I112" s="30">
        <v>69941.48</v>
      </c>
      <c r="J112" s="30">
        <v>68101.22</v>
      </c>
      <c r="K112" s="30">
        <v>58961.29</v>
      </c>
      <c r="L112" s="30">
        <v>60727.03</v>
      </c>
      <c r="M112" s="30">
        <v>64258.86</v>
      </c>
      <c r="N112" s="31">
        <v>625428.68000000005</v>
      </c>
    </row>
    <row r="113" spans="2:14" x14ac:dyDescent="0.55000000000000004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1"/>
    </row>
    <row r="114" spans="2:14" x14ac:dyDescent="0.55000000000000004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1"/>
    </row>
    <row r="115" spans="2:14" x14ac:dyDescent="0.55000000000000004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1"/>
    </row>
    <row r="116" spans="2:14" x14ac:dyDescent="0.55000000000000004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1"/>
    </row>
    <row r="117" spans="2:14" x14ac:dyDescent="0.55000000000000004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1"/>
    </row>
    <row r="118" spans="2:14" x14ac:dyDescent="0.55000000000000004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1"/>
    </row>
    <row r="119" spans="2:14" x14ac:dyDescent="0.55000000000000004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1"/>
    </row>
    <row r="120" spans="2:14" x14ac:dyDescent="0.55000000000000004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1"/>
    </row>
    <row r="121" spans="2:14" x14ac:dyDescent="0.55000000000000004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1"/>
    </row>
    <row r="122" spans="2:14" x14ac:dyDescent="0.55000000000000004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1"/>
    </row>
    <row r="123" spans="2:14" x14ac:dyDescent="0.55000000000000004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1"/>
    </row>
    <row r="124" spans="2:14" x14ac:dyDescent="0.55000000000000004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1"/>
    </row>
    <row r="125" spans="2:14" x14ac:dyDescent="0.55000000000000004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1"/>
    </row>
    <row r="126" spans="2:14" x14ac:dyDescent="0.55000000000000004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1"/>
    </row>
    <row r="127" spans="2:14" x14ac:dyDescent="0.55000000000000004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1"/>
    </row>
    <row r="128" spans="2:14" x14ac:dyDescent="0.55000000000000004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1"/>
    </row>
    <row r="129" spans="2:14" x14ac:dyDescent="0.55000000000000004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1"/>
    </row>
    <row r="130" spans="2:14" x14ac:dyDescent="0.55000000000000004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1"/>
    </row>
    <row r="131" spans="2:14" x14ac:dyDescent="0.55000000000000004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1"/>
    </row>
    <row r="132" spans="2:14" x14ac:dyDescent="0.55000000000000004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1"/>
    </row>
    <row r="133" spans="2:14" x14ac:dyDescent="0.55000000000000004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1"/>
    </row>
    <row r="134" spans="2:14" x14ac:dyDescent="0.55000000000000004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1"/>
    </row>
    <row r="135" spans="2:14" x14ac:dyDescent="0.55000000000000004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1"/>
    </row>
    <row r="136" spans="2:14" x14ac:dyDescent="0.55000000000000004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1"/>
    </row>
    <row r="137" spans="2:14" x14ac:dyDescent="0.55000000000000004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1"/>
    </row>
    <row r="138" spans="2:14" x14ac:dyDescent="0.55000000000000004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1"/>
    </row>
    <row r="139" spans="2:14" x14ac:dyDescent="0.55000000000000004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1"/>
    </row>
    <row r="140" spans="2:14" x14ac:dyDescent="0.55000000000000004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1"/>
    </row>
    <row r="141" spans="2:14" x14ac:dyDescent="0.55000000000000004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1"/>
    </row>
    <row r="142" spans="2:14" x14ac:dyDescent="0.55000000000000004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1"/>
    </row>
    <row r="143" spans="2:14" x14ac:dyDescent="0.55000000000000004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1"/>
    </row>
    <row r="144" spans="2:14" x14ac:dyDescent="0.55000000000000004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1"/>
    </row>
    <row r="145" spans="2:14" x14ac:dyDescent="0.55000000000000004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1"/>
    </row>
    <row r="146" spans="2:14" x14ac:dyDescent="0.55000000000000004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1"/>
    </row>
    <row r="147" spans="2:14" x14ac:dyDescent="0.55000000000000004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1"/>
    </row>
    <row r="148" spans="2:14" x14ac:dyDescent="0.55000000000000004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1"/>
    </row>
    <row r="149" spans="2:14" x14ac:dyDescent="0.55000000000000004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1"/>
    </row>
    <row r="150" spans="2:14" x14ac:dyDescent="0.55000000000000004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1"/>
    </row>
    <row r="151" spans="2:14" x14ac:dyDescent="0.55000000000000004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1"/>
    </row>
    <row r="152" spans="2:14" x14ac:dyDescent="0.55000000000000004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1"/>
    </row>
    <row r="153" spans="2:14" x14ac:dyDescent="0.55000000000000004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1"/>
    </row>
    <row r="154" spans="2:14" x14ac:dyDescent="0.55000000000000004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1"/>
    </row>
    <row r="155" spans="2:14" x14ac:dyDescent="0.55000000000000004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1"/>
    </row>
    <row r="156" spans="2:14" x14ac:dyDescent="0.55000000000000004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1"/>
    </row>
    <row r="157" spans="2:14" x14ac:dyDescent="0.55000000000000004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1"/>
    </row>
    <row r="158" spans="2:14" x14ac:dyDescent="0.55000000000000004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1"/>
    </row>
    <row r="159" spans="2:14" x14ac:dyDescent="0.55000000000000004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1"/>
    </row>
    <row r="160" spans="2:14" x14ac:dyDescent="0.55000000000000004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1"/>
    </row>
    <row r="161" spans="2:14" x14ac:dyDescent="0.55000000000000004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1"/>
    </row>
    <row r="162" spans="2:14" x14ac:dyDescent="0.55000000000000004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1"/>
    </row>
    <row r="163" spans="2:14" x14ac:dyDescent="0.55000000000000004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1"/>
    </row>
    <row r="164" spans="2:14" x14ac:dyDescent="0.55000000000000004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1"/>
    </row>
    <row r="165" spans="2:14" x14ac:dyDescent="0.55000000000000004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1"/>
    </row>
    <row r="166" spans="2:14" x14ac:dyDescent="0.55000000000000004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1"/>
    </row>
    <row r="167" spans="2:14" x14ac:dyDescent="0.55000000000000004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1"/>
    </row>
    <row r="168" spans="2:14" x14ac:dyDescent="0.55000000000000004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1"/>
    </row>
    <row r="169" spans="2:14" x14ac:dyDescent="0.55000000000000004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1"/>
    </row>
    <row r="170" spans="2:14" x14ac:dyDescent="0.55000000000000004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1"/>
    </row>
    <row r="171" spans="2:14" x14ac:dyDescent="0.55000000000000004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1"/>
    </row>
    <row r="172" spans="2:14" x14ac:dyDescent="0.55000000000000004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1"/>
    </row>
    <row r="173" spans="2:14" x14ac:dyDescent="0.55000000000000004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1"/>
    </row>
    <row r="174" spans="2:14" x14ac:dyDescent="0.55000000000000004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1"/>
    </row>
    <row r="175" spans="2:14" x14ac:dyDescent="0.55000000000000004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1"/>
    </row>
    <row r="176" spans="2:14" x14ac:dyDescent="0.55000000000000004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1"/>
    </row>
    <row r="177" spans="2:14" x14ac:dyDescent="0.55000000000000004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1"/>
    </row>
    <row r="178" spans="2:14" x14ac:dyDescent="0.55000000000000004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1"/>
    </row>
    <row r="179" spans="2:14" x14ac:dyDescent="0.55000000000000004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1"/>
    </row>
    <row r="180" spans="2:14" x14ac:dyDescent="0.55000000000000004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1"/>
    </row>
    <row r="181" spans="2:14" x14ac:dyDescent="0.55000000000000004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1"/>
    </row>
    <row r="182" spans="2:14" x14ac:dyDescent="0.55000000000000004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1"/>
    </row>
    <row r="183" spans="2:14" x14ac:dyDescent="0.55000000000000004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1"/>
    </row>
    <row r="184" spans="2:14" x14ac:dyDescent="0.55000000000000004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1"/>
    </row>
    <row r="185" spans="2:14" x14ac:dyDescent="0.55000000000000004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1"/>
    </row>
    <row r="186" spans="2:14" x14ac:dyDescent="0.55000000000000004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1"/>
    </row>
    <row r="187" spans="2:14" x14ac:dyDescent="0.55000000000000004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1"/>
    </row>
    <row r="188" spans="2:14" x14ac:dyDescent="0.55000000000000004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1"/>
    </row>
    <row r="189" spans="2:14" x14ac:dyDescent="0.55000000000000004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1"/>
    </row>
    <row r="190" spans="2:14" x14ac:dyDescent="0.55000000000000004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1"/>
    </row>
    <row r="191" spans="2:14" x14ac:dyDescent="0.55000000000000004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1"/>
    </row>
    <row r="192" spans="2:14" x14ac:dyDescent="0.55000000000000004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1"/>
    </row>
    <row r="193" spans="2:14" x14ac:dyDescent="0.55000000000000004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1"/>
    </row>
    <row r="194" spans="2:14" x14ac:dyDescent="0.55000000000000004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1"/>
    </row>
    <row r="195" spans="2:14" x14ac:dyDescent="0.55000000000000004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1"/>
    </row>
    <row r="196" spans="2:14" x14ac:dyDescent="0.55000000000000004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1"/>
    </row>
    <row r="197" spans="2:14" x14ac:dyDescent="0.55000000000000004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1"/>
    </row>
    <row r="198" spans="2:14" x14ac:dyDescent="0.55000000000000004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1"/>
    </row>
    <row r="199" spans="2:14" x14ac:dyDescent="0.55000000000000004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1"/>
    </row>
    <row r="200" spans="2:14" x14ac:dyDescent="0.55000000000000004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1"/>
    </row>
    <row r="201" spans="2:14" x14ac:dyDescent="0.55000000000000004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1"/>
    </row>
    <row r="202" spans="2:14" x14ac:dyDescent="0.55000000000000004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1"/>
    </row>
    <row r="203" spans="2:14" x14ac:dyDescent="0.55000000000000004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1"/>
    </row>
    <row r="204" spans="2:14" x14ac:dyDescent="0.55000000000000004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1"/>
    </row>
    <row r="205" spans="2:14" x14ac:dyDescent="0.55000000000000004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1"/>
    </row>
    <row r="206" spans="2:14" x14ac:dyDescent="0.55000000000000004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1"/>
    </row>
    <row r="207" spans="2:14" x14ac:dyDescent="0.55000000000000004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1"/>
    </row>
    <row r="208" spans="2:14" x14ac:dyDescent="0.55000000000000004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1"/>
    </row>
    <row r="209" spans="2:14" x14ac:dyDescent="0.55000000000000004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1"/>
    </row>
    <row r="210" spans="2:14" x14ac:dyDescent="0.55000000000000004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1"/>
    </row>
    <row r="211" spans="2:14" x14ac:dyDescent="0.55000000000000004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1"/>
    </row>
    <row r="212" spans="2:14" x14ac:dyDescent="0.55000000000000004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1"/>
    </row>
    <row r="213" spans="2:14" x14ac:dyDescent="0.55000000000000004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1"/>
    </row>
    <row r="214" spans="2:14" x14ac:dyDescent="0.55000000000000004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1"/>
    </row>
    <row r="215" spans="2:14" x14ac:dyDescent="0.55000000000000004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1"/>
    </row>
    <row r="216" spans="2:14" x14ac:dyDescent="0.55000000000000004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1"/>
    </row>
    <row r="217" spans="2:14" x14ac:dyDescent="0.55000000000000004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1"/>
    </row>
    <row r="218" spans="2:14" x14ac:dyDescent="0.55000000000000004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1"/>
    </row>
    <row r="219" spans="2:14" x14ac:dyDescent="0.55000000000000004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1"/>
    </row>
    <row r="220" spans="2:14" x14ac:dyDescent="0.55000000000000004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1"/>
    </row>
    <row r="221" spans="2:14" x14ac:dyDescent="0.55000000000000004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1"/>
    </row>
    <row r="222" spans="2:14" x14ac:dyDescent="0.55000000000000004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1"/>
    </row>
    <row r="223" spans="2:14" x14ac:dyDescent="0.55000000000000004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1"/>
    </row>
    <row r="224" spans="2:14" x14ac:dyDescent="0.55000000000000004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1"/>
    </row>
    <row r="225" spans="2:14" x14ac:dyDescent="0.55000000000000004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1"/>
    </row>
    <row r="226" spans="2:14" x14ac:dyDescent="0.55000000000000004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1"/>
    </row>
    <row r="227" spans="2:14" x14ac:dyDescent="0.55000000000000004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1"/>
    </row>
    <row r="228" spans="2:14" x14ac:dyDescent="0.55000000000000004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1"/>
    </row>
    <row r="229" spans="2:14" x14ac:dyDescent="0.55000000000000004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1"/>
    </row>
    <row r="230" spans="2:14" x14ac:dyDescent="0.55000000000000004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1"/>
    </row>
    <row r="231" spans="2:14" x14ac:dyDescent="0.55000000000000004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1"/>
    </row>
    <row r="232" spans="2:14" x14ac:dyDescent="0.55000000000000004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1"/>
    </row>
    <row r="233" spans="2:14" x14ac:dyDescent="0.55000000000000004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1"/>
    </row>
    <row r="234" spans="2:14" x14ac:dyDescent="0.55000000000000004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1"/>
    </row>
    <row r="235" spans="2:14" x14ac:dyDescent="0.55000000000000004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1"/>
    </row>
    <row r="236" spans="2:14" x14ac:dyDescent="0.55000000000000004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1"/>
    </row>
    <row r="237" spans="2:14" x14ac:dyDescent="0.55000000000000004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1"/>
    </row>
    <row r="238" spans="2:14" x14ac:dyDescent="0.55000000000000004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1"/>
    </row>
    <row r="239" spans="2:14" x14ac:dyDescent="0.55000000000000004"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1"/>
    </row>
    <row r="240" spans="2:14" x14ac:dyDescent="0.55000000000000004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1"/>
    </row>
    <row r="241" spans="2:14" x14ac:dyDescent="0.55000000000000004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1"/>
    </row>
    <row r="242" spans="2:14" x14ac:dyDescent="0.55000000000000004"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1"/>
    </row>
    <row r="243" spans="2:14" x14ac:dyDescent="0.55000000000000004"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1"/>
    </row>
    <row r="244" spans="2:14" x14ac:dyDescent="0.55000000000000004"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1"/>
    </row>
    <row r="245" spans="2:14" x14ac:dyDescent="0.55000000000000004"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1"/>
    </row>
    <row r="246" spans="2:14" x14ac:dyDescent="0.55000000000000004"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1"/>
    </row>
    <row r="247" spans="2:14" x14ac:dyDescent="0.55000000000000004"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1"/>
    </row>
    <row r="248" spans="2:14" x14ac:dyDescent="0.55000000000000004"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1"/>
    </row>
    <row r="249" spans="2:14" x14ac:dyDescent="0.55000000000000004"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1"/>
    </row>
    <row r="250" spans="2:14" x14ac:dyDescent="0.55000000000000004"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1"/>
    </row>
    <row r="251" spans="2:14" x14ac:dyDescent="0.55000000000000004"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1"/>
    </row>
    <row r="252" spans="2:14" x14ac:dyDescent="0.55000000000000004"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1"/>
    </row>
    <row r="253" spans="2:14" x14ac:dyDescent="0.55000000000000004"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1"/>
    </row>
    <row r="254" spans="2:14" x14ac:dyDescent="0.55000000000000004"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1"/>
    </row>
    <row r="255" spans="2:14" x14ac:dyDescent="0.55000000000000004"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1"/>
    </row>
    <row r="256" spans="2:14" x14ac:dyDescent="0.55000000000000004"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1"/>
    </row>
    <row r="257" spans="2:14" x14ac:dyDescent="0.55000000000000004"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1"/>
    </row>
    <row r="258" spans="2:14" x14ac:dyDescent="0.55000000000000004"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1"/>
    </row>
    <row r="259" spans="2:14" x14ac:dyDescent="0.55000000000000004"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1"/>
    </row>
    <row r="260" spans="2:14" x14ac:dyDescent="0.55000000000000004"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1"/>
    </row>
    <row r="261" spans="2:14" x14ac:dyDescent="0.55000000000000004"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1"/>
    </row>
    <row r="262" spans="2:14" x14ac:dyDescent="0.55000000000000004"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1"/>
    </row>
    <row r="263" spans="2:14" x14ac:dyDescent="0.55000000000000004"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1"/>
    </row>
    <row r="264" spans="2:14" x14ac:dyDescent="0.55000000000000004"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1"/>
    </row>
    <row r="265" spans="2:14" x14ac:dyDescent="0.55000000000000004"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1"/>
    </row>
    <row r="266" spans="2:14" x14ac:dyDescent="0.55000000000000004"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1"/>
    </row>
    <row r="267" spans="2:14" x14ac:dyDescent="0.55000000000000004"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1"/>
    </row>
    <row r="268" spans="2:14" x14ac:dyDescent="0.55000000000000004"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1"/>
    </row>
    <row r="269" spans="2:14" x14ac:dyDescent="0.55000000000000004"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1"/>
    </row>
    <row r="270" spans="2:14" x14ac:dyDescent="0.55000000000000004"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1"/>
    </row>
    <row r="271" spans="2:14" x14ac:dyDescent="0.55000000000000004"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1"/>
    </row>
    <row r="272" spans="2:14" x14ac:dyDescent="0.55000000000000004"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1"/>
    </row>
    <row r="273" spans="2:14" x14ac:dyDescent="0.55000000000000004"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1"/>
    </row>
    <row r="274" spans="2:14" x14ac:dyDescent="0.55000000000000004"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1"/>
    </row>
    <row r="275" spans="2:14" x14ac:dyDescent="0.55000000000000004"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1"/>
    </row>
    <row r="276" spans="2:14" x14ac:dyDescent="0.55000000000000004"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1"/>
    </row>
    <row r="277" spans="2:14" x14ac:dyDescent="0.55000000000000004"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1"/>
    </row>
    <row r="278" spans="2:14" x14ac:dyDescent="0.55000000000000004"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1"/>
    </row>
    <row r="279" spans="2:14" x14ac:dyDescent="0.55000000000000004"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1"/>
    </row>
    <row r="280" spans="2:14" x14ac:dyDescent="0.55000000000000004"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1"/>
    </row>
    <row r="281" spans="2:14" x14ac:dyDescent="0.55000000000000004"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1"/>
    </row>
    <row r="282" spans="2:14" x14ac:dyDescent="0.55000000000000004"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1"/>
    </row>
    <row r="283" spans="2:14" x14ac:dyDescent="0.55000000000000004"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1"/>
    </row>
    <row r="284" spans="2:14" x14ac:dyDescent="0.55000000000000004"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1"/>
    </row>
    <row r="285" spans="2:14" x14ac:dyDescent="0.55000000000000004"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1"/>
    </row>
    <row r="286" spans="2:14" x14ac:dyDescent="0.55000000000000004"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1"/>
    </row>
    <row r="287" spans="2:14" x14ac:dyDescent="0.55000000000000004"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1"/>
    </row>
    <row r="288" spans="2:14" x14ac:dyDescent="0.55000000000000004"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1"/>
    </row>
    <row r="289" spans="2:14" x14ac:dyDescent="0.55000000000000004"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1"/>
    </row>
    <row r="290" spans="2:14" x14ac:dyDescent="0.55000000000000004"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1"/>
    </row>
    <row r="291" spans="2:14" x14ac:dyDescent="0.55000000000000004"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1"/>
    </row>
    <row r="292" spans="2:14" x14ac:dyDescent="0.55000000000000004"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1"/>
    </row>
    <row r="293" spans="2:14" x14ac:dyDescent="0.55000000000000004"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1"/>
    </row>
    <row r="294" spans="2:14" x14ac:dyDescent="0.55000000000000004"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1"/>
    </row>
    <row r="295" spans="2:14" x14ac:dyDescent="0.55000000000000004"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1"/>
    </row>
    <row r="296" spans="2:14" x14ac:dyDescent="0.55000000000000004"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1"/>
    </row>
    <row r="297" spans="2:14" x14ac:dyDescent="0.55000000000000004"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1"/>
    </row>
    <row r="298" spans="2:14" x14ac:dyDescent="0.55000000000000004"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1"/>
    </row>
    <row r="299" spans="2:14" x14ac:dyDescent="0.55000000000000004"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1"/>
    </row>
    <row r="300" spans="2:14" x14ac:dyDescent="0.55000000000000004"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1"/>
    </row>
    <row r="301" spans="2:14" x14ac:dyDescent="0.55000000000000004">
      <c r="B301" s="30" t="str">
        <f>IF(ISBLANK('Final T-12'!BN297),"",'Final T-12'!BN297)</f>
        <v/>
      </c>
      <c r="C301" s="30" t="str">
        <f>IF(ISBLANK('Final T-12'!BO297),"",'Final T-12'!BO297)</f>
        <v/>
      </c>
      <c r="D301" s="30" t="str">
        <f>IF(ISBLANK('Final T-12'!BP297),"",'Final T-12'!BP297)</f>
        <v/>
      </c>
      <c r="E301" s="30" t="str">
        <f>IF(ISBLANK('Final T-12'!BQ297),"",'Final T-12'!BQ297)</f>
        <v/>
      </c>
      <c r="F301" s="30" t="str">
        <f>IF(ISBLANK('Final T-12'!BR297),"",'Final T-12'!BR297)</f>
        <v/>
      </c>
      <c r="G301" s="30" t="str">
        <f>IF(ISBLANK('Final T-12'!BS297),"",'Final T-12'!BS297)</f>
        <v/>
      </c>
      <c r="H301" s="30" t="str">
        <f>IF(ISBLANK('Final T-12'!BT297),"",'Final T-12'!BT297)</f>
        <v/>
      </c>
      <c r="I301" s="30" t="str">
        <f>IF(ISBLANK('Final T-12'!BU297),"",'Final T-12'!BU297)</f>
        <v/>
      </c>
      <c r="J301" s="30" t="str">
        <f>IF(ISBLANK('Final T-12'!BV297),"",'Final T-12'!BV297)</f>
        <v/>
      </c>
      <c r="K301" s="30" t="str">
        <f>IF(ISBLANK('Final T-12'!BW297),"",'Final T-12'!BW297)</f>
        <v/>
      </c>
      <c r="L301" s="30" t="str">
        <f>IF(ISBLANK('Final T-12'!BX297),"",'Final T-12'!BX297)</f>
        <v/>
      </c>
      <c r="M301" s="30" t="str">
        <f>IF(ISBLANK('Final T-12'!BY297),"",'Final T-12'!BY297)</f>
        <v/>
      </c>
      <c r="N301" s="31" t="str">
        <f>IF(ISBLANK('Final T-12'!BZ297),"",'Final T-12'!BZ297)</f>
        <v/>
      </c>
    </row>
    <row r="302" spans="2:14" x14ac:dyDescent="0.55000000000000004">
      <c r="B302" s="26" t="str">
        <f>IF(ISBLANK('Final T-12'!BN298),"",'Final T-12'!BN298)</f>
        <v/>
      </c>
      <c r="C302" s="26" t="str">
        <f>IF(ISBLANK('Final T-12'!BO298),"",'Final T-12'!BO298)</f>
        <v/>
      </c>
      <c r="D302" s="26" t="str">
        <f>IF(ISBLANK('Final T-12'!BP298),"",'Final T-12'!BP298)</f>
        <v/>
      </c>
      <c r="E302" s="26" t="str">
        <f>IF(ISBLANK('Final T-12'!BQ298),"",'Final T-12'!BQ298)</f>
        <v/>
      </c>
      <c r="F302" s="26" t="str">
        <f>IF(ISBLANK('Final T-12'!BR298),"",'Final T-12'!BR298)</f>
        <v/>
      </c>
      <c r="G302" s="26" t="str">
        <f>IF(ISBLANK('Final T-12'!BS298),"",'Final T-12'!BS298)</f>
        <v/>
      </c>
      <c r="H302" s="26" t="str">
        <f>IF(ISBLANK('Final T-12'!BT298),"",'Final T-12'!BT298)</f>
        <v/>
      </c>
      <c r="I302" s="26" t="str">
        <f>IF(ISBLANK('Final T-12'!BU298),"",'Final T-12'!BU298)</f>
        <v/>
      </c>
      <c r="J302" s="26" t="str">
        <f>IF(ISBLANK('Final T-12'!BV298),"",'Final T-12'!BV298)</f>
        <v/>
      </c>
      <c r="K302" s="26" t="str">
        <f>IF(ISBLANK('Final T-12'!BW298),"",'Final T-12'!BW298)</f>
        <v/>
      </c>
      <c r="L302" s="26" t="str">
        <f>IF(ISBLANK('Final T-12'!BX298),"",'Final T-12'!BX298)</f>
        <v/>
      </c>
      <c r="M302" s="26" t="str">
        <f>IF(ISBLANK('Final T-12'!BY298),"",'Final T-12'!BY298)</f>
        <v/>
      </c>
      <c r="N302" s="27" t="str">
        <f>IF(ISBLANK('Final T-12'!BZ298),"",'Final T-12'!BZ298)</f>
        <v/>
      </c>
    </row>
  </sheetData>
  <conditionalFormatting sqref="A6:N303">
    <cfRule type="expression" dxfId="5" priority="1">
      <formula>$A6="Total Expense"</formula>
    </cfRule>
    <cfRule type="expression" dxfId="4" priority="14">
      <formula>$A6="Total Revenue"</formula>
    </cfRule>
    <cfRule type="expression" dxfId="3" priority="15">
      <formula>$B6=""</formula>
    </cfRule>
  </conditionalFormatting>
  <conditionalFormatting sqref="A7:N303">
    <cfRule type="expression" dxfId="2" priority="2">
      <formula>$A7="Net Operating Income"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EB50-DA49-4EB1-AD33-43B16E1777C0}">
  <dimension ref="A1:Q200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6" sqref="C6"/>
    </sheetView>
  </sheetViews>
  <sheetFormatPr defaultRowHeight="12.3" x14ac:dyDescent="0.4"/>
  <cols>
    <col min="2" max="2" width="36.38671875" customWidth="1"/>
    <col min="15" max="15" width="11.88671875" customWidth="1"/>
  </cols>
  <sheetData>
    <row r="1" spans="1:17" x14ac:dyDescent="0.4">
      <c r="B1" t="s">
        <v>68</v>
      </c>
      <c r="C1">
        <f>SUMIFS(C6:C1041,$A$6:$A$1041,"r")+SUMIFS(C6:C1041,$A$6:$A$1041,"ll")+SUMIFS(C6:C1041,$A$6:$A$1041,"bd")+SUMIFS(C6:C1041,$A$6:$A$1041,"v")+SUMIFS(C6:C1041,$A$6:$A$1041,"nr")+SUMIFS(C6:C1041,$A$6:$A$1041,"oi")+SUMIFS(C6:C1041,$A$6:$A$1041,"rt")+SUMIFS(C6:C1041,$A$6:$A$1041,"ro")+SUMIFS(C6:C1041,$A$6:$A$1041,"rw")-SUMIFS(C6:C1041,$A$6:$A$1041,"rev")</f>
        <v>0</v>
      </c>
      <c r="D1">
        <f t="shared" ref="D1:O1" si="0">SUMIFS(D6:D1041,$A$6:$A$1041,"r")+SUMIFS(D6:D1041,$A$6:$A$1041,"ll")+SUMIFS(D6:D1041,$A$6:$A$1041,"bd")+SUMIFS(D6:D1041,$A$6:$A$1041,"v")+SUMIFS(D6:D1041,$A$6:$A$1041,"nr")+SUMIFS(D6:D1041,$A$6:$A$1041,"oi")+SUMIFS(D6:D1041,$A$6:$A$1041,"rt")+SUMIFS(D6:D1041,$A$6:$A$1041,"ro")+SUMIFS(D6:D1041,$A$6:$A$1041,"rw")-SUMIFS(D6:D1041,$A$6:$A$1041,"rev")</f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Q1" t="s">
        <v>69</v>
      </c>
    </row>
    <row r="2" spans="1:17" x14ac:dyDescent="0.4">
      <c r="B2" t="s">
        <v>70</v>
      </c>
      <c r="C2">
        <f>SUMIFS(C6:C1041,$A$6:$A$1041,"ad")+SUMIFS(C6:C1041,$A$6:$A$1041,"m")+SUMIFS(C6:C1041,$A$6:$A$1041,"cs")+SUMIFS(C6:C1041,$A$6:$A$1041,"rm")+SUMIFS(C6:C1041,$A$6:$A$1041,"pr")+SUMIFS(C6:C1041,$A$6:$A$1041,"e")+SUMIFS(C6:C1041,$A$6:$A$1041,"w")+SUMIFS(C6:C1041,$A$6:$A$1041,"o")+SUMIFS(C6:C1041,$A$6:$A$1041,"tr")+SUMIFS(C6:C1041,$A$6:$A$1041,"i")+SUMIFS(C6:C1041,$A$6:$A$1041,"tx")+SUMIFS(C6:C1041,$A$6:$A$1041,"mf")-SUMIFS(C6:C1041,$A$6:$A$1041,"exp")</f>
        <v>0</v>
      </c>
      <c r="D2">
        <f t="shared" ref="D2:O2" si="1">SUMIFS(D6:D1041,$A$6:$A$1041,"ad")+SUMIFS(D6:D1041,$A$6:$A$1041,"m")+SUMIFS(D6:D1041,$A$6:$A$1041,"cs")+SUMIFS(D6:D1041,$A$6:$A$1041,"rm")+SUMIFS(D6:D1041,$A$6:$A$1041,"pr")+SUMIFS(D6:D1041,$A$6:$A$1041,"e")+SUMIFS(D6:D1041,$A$6:$A$1041,"w")+SUMIFS(D6:D1041,$A$6:$A$1041,"o")+SUMIFS(D6:D1041,$A$6:$A$1041,"tr")+SUMIFS(D6:D1041,$A$6:$A$1041,"i")+SUMIFS(D6:D1041,$A$6:$A$1041,"tx")+SUMIFS(D6:D1041,$A$6:$A$1041,"mf")-SUMIFS(D6:D1041,$A$6:$A$1041,"exp")</f>
        <v>0</v>
      </c>
      <c r="E2">
        <f t="shared" si="1"/>
        <v>0</v>
      </c>
      <c r="F2">
        <f t="shared" si="1"/>
        <v>0</v>
      </c>
      <c r="G2">
        <f t="shared" si="1"/>
        <v>0</v>
      </c>
      <c r="H2">
        <f t="shared" si="1"/>
        <v>0</v>
      </c>
      <c r="I2">
        <f t="shared" si="1"/>
        <v>0</v>
      </c>
      <c r="J2">
        <f t="shared" si="1"/>
        <v>0</v>
      </c>
      <c r="K2">
        <f t="shared" si="1"/>
        <v>0</v>
      </c>
      <c r="L2">
        <f t="shared" si="1"/>
        <v>0</v>
      </c>
      <c r="M2">
        <f t="shared" si="1"/>
        <v>0</v>
      </c>
      <c r="N2">
        <f t="shared" si="1"/>
        <v>0</v>
      </c>
      <c r="O2">
        <f t="shared" si="1"/>
        <v>0</v>
      </c>
    </row>
    <row r="3" spans="1:17" x14ac:dyDescent="0.4">
      <c r="B3" t="s">
        <v>71</v>
      </c>
      <c r="C3">
        <f>(SUMIFS(C6:C1041,$A$6:$A$1041,"r")+SUMIFS(C6:C1041,$A$6:$A$1041,"ll")+SUMIFS(C6:C1041,$A$6:$A$1041,"bd")+SUMIFS(C6:C1041,$A$6:$A$1041,"v")+SUMIFS(C6:C1041,$A$6:$A$1041,"nr")+SUMIFS(C6:C1041,$A$6:$A$1041,"oi")+SUMIFS(C6:C1041,$A$6:$A$1041,"rt")+SUMIFS(C6:C1041,$A$6:$A$1041,"ro")+SUMIFS(C6:C1041,$A$6:$A$1041,"rw"))-(SUMIFS(C6:C1041,$A$6:$A$1041,"ad")+SUMIFS(C6:C1041,$A$6:$A$1041,"m")+SUMIFS(C6:C1041,$A$6:$A$1041,"cs")+SUMIFS(C6:C1041,$A$6:$A$1041,"rm")+SUMIFS(C6:C1041,$A$6:$A$1041,"pr")+SUMIFS(C6:C1041,$A$6:$A$1041,"e")+SUMIFS(C6:C1041,$A$6:$A$1041,"w")+SUMIFS(C6:C1041,$A$6:$A$1041,"o")+SUMIFS(C6:C1041,$A$6:$A$1041,"tr")+SUMIFS(C6:C1041,$A$6:$A$1041,"i")+SUMIFS(C6:C1041,$A$6:$A$1041,"tx")+SUMIFS(C6:C1041,$A$6:$A$1041,"mf"))-SUMIFS(C6:C1041,$A$6:$A$1041,"noi")</f>
        <v>0</v>
      </c>
      <c r="D3">
        <f t="shared" ref="D3:O3" si="2">(SUMIFS(D6:D1041,$A$6:$A$1041,"r")+SUMIFS(D6:D1041,$A$6:$A$1041,"ll")+SUMIFS(D6:D1041,$A$6:$A$1041,"bd")+SUMIFS(D6:D1041,$A$6:$A$1041,"v")+SUMIFS(D6:D1041,$A$6:$A$1041,"nr")+SUMIFS(D6:D1041,$A$6:$A$1041,"oi")+SUMIFS(D6:D1041,$A$6:$A$1041,"rt")+SUMIFS(D6:D1041,$A$6:$A$1041,"ro")+SUMIFS(D6:D1041,$A$6:$A$1041,"rw"))-(SUMIFS(D6:D1041,$A$6:$A$1041,"ad")+SUMIFS(D6:D1041,$A$6:$A$1041,"m")+SUMIFS(D6:D1041,$A$6:$A$1041,"cs")+SUMIFS(D6:D1041,$A$6:$A$1041,"rm")+SUMIFS(D6:D1041,$A$6:$A$1041,"pr")+SUMIFS(D6:D1041,$A$6:$A$1041,"e")+SUMIFS(D6:D1041,$A$6:$A$1041,"w")+SUMIFS(D6:D1041,$A$6:$A$1041,"o")+SUMIFS(D6:D1041,$A$6:$A$1041,"tr")+SUMIFS(D6:D1041,$A$6:$A$1041,"i")+SUMIFS(D6:D1041,$A$6:$A$1041,"tx")+SUMIFS(D6:D1041,$A$6:$A$1041,"mf"))-SUMIFS(D6:D1041,$A$6:$A$1041,"noi")</f>
        <v>0</v>
      </c>
      <c r="E3">
        <f t="shared" si="2"/>
        <v>0</v>
      </c>
      <c r="F3">
        <f t="shared" si="2"/>
        <v>0</v>
      </c>
      <c r="G3">
        <f t="shared" si="2"/>
        <v>0</v>
      </c>
      <c r="H3">
        <f t="shared" si="2"/>
        <v>0</v>
      </c>
      <c r="I3">
        <f t="shared" si="2"/>
        <v>0</v>
      </c>
      <c r="J3">
        <f t="shared" si="2"/>
        <v>0</v>
      </c>
      <c r="K3">
        <f t="shared" si="2"/>
        <v>0</v>
      </c>
      <c r="L3">
        <f t="shared" si="2"/>
        <v>0</v>
      </c>
      <c r="M3">
        <f t="shared" si="2"/>
        <v>0</v>
      </c>
      <c r="N3">
        <f t="shared" si="2"/>
        <v>0</v>
      </c>
      <c r="O3">
        <f t="shared" si="2"/>
        <v>0</v>
      </c>
    </row>
    <row r="4" spans="1:17" x14ac:dyDescent="0.4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</row>
    <row r="5" spans="1:17" ht="12.6" x14ac:dyDescent="0.45">
      <c r="A5" s="21" t="s">
        <v>66</v>
      </c>
      <c r="B5" t="s">
        <v>98</v>
      </c>
      <c r="C5" s="32">
        <v>45809</v>
      </c>
      <c r="D5" s="32">
        <v>45839</v>
      </c>
      <c r="E5" s="32">
        <v>45870</v>
      </c>
      <c r="F5" s="32">
        <v>45901</v>
      </c>
      <c r="G5" s="32">
        <v>45931</v>
      </c>
      <c r="H5" s="32">
        <v>45962</v>
      </c>
      <c r="I5" s="32">
        <v>45992</v>
      </c>
      <c r="J5" s="32">
        <v>46023</v>
      </c>
      <c r="K5" s="32">
        <v>46054</v>
      </c>
      <c r="L5" s="32">
        <v>46082</v>
      </c>
      <c r="M5" s="32">
        <v>46113</v>
      </c>
      <c r="N5" s="32">
        <v>46143</v>
      </c>
      <c r="O5" s="11" t="s">
        <v>119</v>
      </c>
      <c r="Q5" t="s">
        <v>65</v>
      </c>
    </row>
    <row r="6" spans="1:17" ht="12.6" x14ac:dyDescent="0.45">
      <c r="A6" s="21"/>
      <c r="B6" s="11" t="s">
        <v>120</v>
      </c>
    </row>
    <row r="7" spans="1:17" ht="12.6" x14ac:dyDescent="0.45">
      <c r="A7" s="21"/>
      <c r="B7" s="12" t="s">
        <v>121</v>
      </c>
      <c r="H7" s="13"/>
      <c r="K7" s="13"/>
      <c r="L7" s="13"/>
    </row>
    <row r="8" spans="1:17" ht="12.6" x14ac:dyDescent="0.45">
      <c r="A8" s="21" t="s">
        <v>2</v>
      </c>
      <c r="B8" s="12" t="s">
        <v>122</v>
      </c>
      <c r="C8" s="13">
        <v>98319</v>
      </c>
      <c r="D8" s="13">
        <v>98319</v>
      </c>
      <c r="E8" s="13">
        <v>98319</v>
      </c>
      <c r="F8" s="13">
        <v>98319</v>
      </c>
      <c r="G8" s="13">
        <v>98319</v>
      </c>
      <c r="H8" s="13">
        <v>98319</v>
      </c>
      <c r="I8" s="13">
        <v>98319</v>
      </c>
      <c r="J8" s="13">
        <v>98319</v>
      </c>
      <c r="K8" s="13">
        <v>98319</v>
      </c>
      <c r="L8" s="13">
        <v>98319</v>
      </c>
      <c r="M8" s="13">
        <v>98319</v>
      </c>
      <c r="N8" s="13">
        <v>98319</v>
      </c>
      <c r="O8" s="13">
        <v>1179828</v>
      </c>
    </row>
    <row r="9" spans="1:17" ht="12.6" x14ac:dyDescent="0.45">
      <c r="A9" s="21" t="s">
        <v>4</v>
      </c>
      <c r="B9" s="12" t="s">
        <v>123</v>
      </c>
      <c r="C9" s="22">
        <v>-7470</v>
      </c>
      <c r="D9" s="22">
        <v>-5694</v>
      </c>
      <c r="E9" s="22">
        <v>-4199</v>
      </c>
      <c r="F9" s="22">
        <v>-3850</v>
      </c>
      <c r="G9" s="22">
        <v>-4278</v>
      </c>
      <c r="H9" s="22">
        <v>-4164</v>
      </c>
      <c r="I9" s="22">
        <v>-4094</v>
      </c>
      <c r="J9" s="13">
        <v>-5332</v>
      </c>
      <c r="K9" s="22">
        <v>-3695</v>
      </c>
      <c r="L9" s="22">
        <v>-3174</v>
      </c>
      <c r="M9" s="13">
        <v>-3385</v>
      </c>
      <c r="N9" s="22">
        <v>-3248</v>
      </c>
      <c r="O9" s="13">
        <v>-52583</v>
      </c>
    </row>
    <row r="10" spans="1:17" ht="12.6" x14ac:dyDescent="0.45">
      <c r="A10" s="21"/>
      <c r="B10" s="12" t="s">
        <v>124</v>
      </c>
      <c r="C10" s="13">
        <v>90849</v>
      </c>
      <c r="D10" s="13">
        <v>92625</v>
      </c>
      <c r="E10" s="13">
        <v>94120</v>
      </c>
      <c r="F10" s="13">
        <v>94469</v>
      </c>
      <c r="G10" s="13">
        <v>94041</v>
      </c>
      <c r="H10" s="13">
        <v>94155</v>
      </c>
      <c r="I10" s="13">
        <v>94225</v>
      </c>
      <c r="J10" s="13">
        <v>92987</v>
      </c>
      <c r="K10" s="13">
        <v>94624</v>
      </c>
      <c r="L10" s="13">
        <v>95145</v>
      </c>
      <c r="M10" s="13">
        <v>94934</v>
      </c>
      <c r="N10" s="13">
        <v>95071</v>
      </c>
      <c r="O10" s="14">
        <v>1127245</v>
      </c>
    </row>
    <row r="11" spans="1:17" ht="12.6" x14ac:dyDescent="0.45">
      <c r="A11" s="21"/>
      <c r="B11" s="12" t="s">
        <v>125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7" ht="12.6" x14ac:dyDescent="0.45">
      <c r="A12" s="21" t="s">
        <v>6</v>
      </c>
      <c r="B12" s="12" t="s">
        <v>206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-1.83</v>
      </c>
      <c r="N12" s="15">
        <v>-5</v>
      </c>
      <c r="O12" s="16">
        <v>-6.83</v>
      </c>
    </row>
    <row r="13" spans="1:17" ht="12.6" x14ac:dyDescent="0.45">
      <c r="A13" s="21" t="s">
        <v>8</v>
      </c>
      <c r="B13" s="11" t="s">
        <v>126</v>
      </c>
      <c r="C13">
        <v>-13725.89</v>
      </c>
      <c r="D13">
        <v>-14532.17</v>
      </c>
      <c r="E13">
        <v>-25005.29</v>
      </c>
      <c r="F13" s="22">
        <v>-18833.490000000002</v>
      </c>
      <c r="G13">
        <v>-7135.31</v>
      </c>
      <c r="H13">
        <v>-3387.5</v>
      </c>
      <c r="I13">
        <v>-2806.89</v>
      </c>
      <c r="J13">
        <v>-105.42</v>
      </c>
      <c r="K13">
        <v>-1181.42</v>
      </c>
      <c r="L13" s="22">
        <v>-2687.1</v>
      </c>
      <c r="M13">
        <v>-3492.74</v>
      </c>
      <c r="N13">
        <v>-2583</v>
      </c>
      <c r="O13" s="22">
        <v>-95476.22</v>
      </c>
    </row>
    <row r="14" spans="1:17" ht="12.6" x14ac:dyDescent="0.45">
      <c r="A14" s="21" t="s">
        <v>8</v>
      </c>
      <c r="B14" s="12" t="s">
        <v>127</v>
      </c>
      <c r="C14" s="22">
        <v>0</v>
      </c>
      <c r="D14" s="22">
        <v>0</v>
      </c>
      <c r="E14" s="22">
        <v>0</v>
      </c>
      <c r="F14" s="22">
        <v>0</v>
      </c>
      <c r="G14" s="22">
        <v>-99.86</v>
      </c>
      <c r="H14" s="22">
        <v>0</v>
      </c>
      <c r="I14" s="22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-99.86</v>
      </c>
    </row>
    <row r="15" spans="1:17" ht="12.6" x14ac:dyDescent="0.45">
      <c r="A15" s="21" t="s">
        <v>10</v>
      </c>
      <c r="B15" s="12" t="s">
        <v>128</v>
      </c>
      <c r="C15">
        <v>732.09</v>
      </c>
      <c r="D15">
        <v>5.94</v>
      </c>
      <c r="E15" s="22">
        <v>-2385.7399999999998</v>
      </c>
      <c r="F15" s="22">
        <v>789.69</v>
      </c>
      <c r="G15" s="22">
        <v>1159.4100000000001</v>
      </c>
      <c r="H15" s="22">
        <v>-2248.4499999999998</v>
      </c>
      <c r="I15" s="22">
        <v>960.86</v>
      </c>
      <c r="J15" s="13">
        <v>64.260000000000005</v>
      </c>
      <c r="K15" s="13">
        <v>-1337.56</v>
      </c>
      <c r="L15" s="22">
        <v>-133.27000000000001</v>
      </c>
      <c r="M15" s="22">
        <v>865.34</v>
      </c>
      <c r="N15">
        <v>-785.12</v>
      </c>
      <c r="O15" s="13">
        <v>-2312.5500000000002</v>
      </c>
    </row>
    <row r="16" spans="1:17" ht="12.6" x14ac:dyDescent="0.45">
      <c r="A16" s="21" t="s">
        <v>10</v>
      </c>
      <c r="B16" s="12" t="s">
        <v>129</v>
      </c>
      <c r="C16" s="13">
        <v>-7210.84</v>
      </c>
      <c r="D16">
        <v>-15776.46</v>
      </c>
      <c r="E16" s="22">
        <v>-13010.57</v>
      </c>
      <c r="F16" s="22">
        <v>1307.3599999999999</v>
      </c>
      <c r="G16" s="22">
        <v>-4534.37</v>
      </c>
      <c r="H16" s="13">
        <v>2586.83</v>
      </c>
      <c r="I16" s="22">
        <v>-1844.19</v>
      </c>
      <c r="J16" s="13">
        <v>-1177.1500000000001</v>
      </c>
      <c r="K16" s="13">
        <v>428.94</v>
      </c>
      <c r="L16" s="22">
        <v>-1032.18</v>
      </c>
      <c r="M16" s="13">
        <v>66.59</v>
      </c>
      <c r="N16" s="13">
        <v>-368.77</v>
      </c>
      <c r="O16" s="13">
        <v>-40564.81</v>
      </c>
    </row>
    <row r="17" spans="1:15" ht="12.6" x14ac:dyDescent="0.45">
      <c r="A17" s="21"/>
      <c r="B17" s="12" t="s">
        <v>130</v>
      </c>
      <c r="C17" s="13">
        <v>-20204.64</v>
      </c>
      <c r="D17" s="13">
        <v>-30302.69</v>
      </c>
      <c r="E17" s="13">
        <v>-40401.599999999999</v>
      </c>
      <c r="F17" s="13">
        <v>-16736.439999999999</v>
      </c>
      <c r="G17" s="13">
        <v>-10610.13</v>
      </c>
      <c r="H17" s="13">
        <v>-3049.12</v>
      </c>
      <c r="I17" s="13">
        <v>-3690.22</v>
      </c>
      <c r="J17" s="13">
        <v>-1218.31</v>
      </c>
      <c r="K17" s="13">
        <v>-2090.04</v>
      </c>
      <c r="L17" s="13">
        <v>-3852.55</v>
      </c>
      <c r="M17" s="13">
        <v>-2562.64</v>
      </c>
      <c r="N17" s="13">
        <v>-3741.89</v>
      </c>
      <c r="O17" s="13">
        <v>-138460.26999999999</v>
      </c>
    </row>
    <row r="18" spans="1:15" ht="12.6" x14ac:dyDescent="0.45">
      <c r="A18" s="21"/>
      <c r="B18" s="12" t="s">
        <v>131</v>
      </c>
      <c r="C18" s="13">
        <v>70644.36</v>
      </c>
      <c r="D18" s="13">
        <v>62322.31</v>
      </c>
      <c r="E18" s="13">
        <v>53718.400000000001</v>
      </c>
      <c r="F18" s="13">
        <v>77732.56</v>
      </c>
      <c r="G18" s="13">
        <v>83430.87</v>
      </c>
      <c r="H18" s="13">
        <v>91105.88</v>
      </c>
      <c r="I18" s="13">
        <v>90534.78</v>
      </c>
      <c r="J18" s="13">
        <v>91768.69</v>
      </c>
      <c r="K18" s="13">
        <v>92533.96</v>
      </c>
      <c r="L18" s="13">
        <v>91292.45</v>
      </c>
      <c r="M18" s="13">
        <v>92371.36</v>
      </c>
      <c r="N18" s="13">
        <v>91329.11</v>
      </c>
      <c r="O18" s="13">
        <v>988784.73</v>
      </c>
    </row>
    <row r="19" spans="1:15" ht="12.6" x14ac:dyDescent="0.45">
      <c r="A19" s="21" t="s">
        <v>16</v>
      </c>
      <c r="B19" s="12" t="s">
        <v>17</v>
      </c>
      <c r="C19" s="13"/>
      <c r="D19" s="13"/>
      <c r="E19" s="13"/>
      <c r="L19" s="13"/>
      <c r="M19" s="13"/>
      <c r="O19" s="13"/>
    </row>
    <row r="20" spans="1:15" ht="12.6" x14ac:dyDescent="0.45">
      <c r="A20" s="21" t="s">
        <v>16</v>
      </c>
      <c r="B20" s="12" t="s">
        <v>132</v>
      </c>
      <c r="C20" s="13">
        <v>0</v>
      </c>
      <c r="D20" s="13">
        <v>0</v>
      </c>
      <c r="E20" s="13">
        <v>0</v>
      </c>
      <c r="F20" s="13">
        <v>0</v>
      </c>
      <c r="G20" s="13">
        <v>135.88999999999999</v>
      </c>
      <c r="H20" s="13">
        <v>400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535.89</v>
      </c>
    </row>
    <row r="21" spans="1:15" ht="12.6" x14ac:dyDescent="0.45">
      <c r="A21" s="21" t="s">
        <v>16</v>
      </c>
      <c r="B21" s="12" t="s">
        <v>133</v>
      </c>
      <c r="C21" s="13">
        <v>0</v>
      </c>
      <c r="D21">
        <v>0</v>
      </c>
      <c r="E21">
        <v>28.7</v>
      </c>
      <c r="F21" s="13">
        <v>0</v>
      </c>
      <c r="G21">
        <v>0</v>
      </c>
      <c r="H21">
        <v>0</v>
      </c>
      <c r="I21" s="13">
        <v>0</v>
      </c>
      <c r="J21">
        <v>0</v>
      </c>
      <c r="K21">
        <v>0</v>
      </c>
      <c r="L21" s="13">
        <v>0</v>
      </c>
      <c r="M21" s="13">
        <v>0</v>
      </c>
      <c r="N21">
        <v>0</v>
      </c>
      <c r="O21" s="13">
        <v>28.7</v>
      </c>
    </row>
    <row r="22" spans="1:15" ht="12.6" x14ac:dyDescent="0.45">
      <c r="A22" s="21" t="s">
        <v>16</v>
      </c>
      <c r="B22" s="12" t="s">
        <v>134</v>
      </c>
      <c r="C22">
        <v>105</v>
      </c>
      <c r="D22" s="13">
        <v>210</v>
      </c>
      <c r="E22">
        <v>105</v>
      </c>
      <c r="F22">
        <v>141.16999999999999</v>
      </c>
      <c r="G22">
        <v>210</v>
      </c>
      <c r="H22">
        <v>148.16999999999999</v>
      </c>
      <c r="I22" s="13">
        <v>210</v>
      </c>
      <c r="J22">
        <v>175</v>
      </c>
      <c r="K22">
        <v>140</v>
      </c>
      <c r="L22" s="13">
        <v>175</v>
      </c>
      <c r="M22" s="13">
        <v>175</v>
      </c>
      <c r="N22">
        <v>175</v>
      </c>
      <c r="O22" s="13">
        <v>1969.34</v>
      </c>
    </row>
    <row r="23" spans="1:15" ht="12.6" x14ac:dyDescent="0.45">
      <c r="A23" s="21" t="s">
        <v>16</v>
      </c>
      <c r="B23" s="12" t="s">
        <v>135</v>
      </c>
      <c r="C23" s="13">
        <v>180</v>
      </c>
      <c r="D23" s="13">
        <v>180</v>
      </c>
      <c r="E23" s="13">
        <v>135</v>
      </c>
      <c r="F23">
        <v>190</v>
      </c>
      <c r="G23" s="13">
        <v>145.19999999999999</v>
      </c>
      <c r="H23" s="13">
        <v>120</v>
      </c>
      <c r="I23">
        <v>120</v>
      </c>
      <c r="J23" s="13">
        <v>120</v>
      </c>
      <c r="K23" s="13">
        <v>145</v>
      </c>
      <c r="L23" s="13">
        <v>160</v>
      </c>
      <c r="M23" s="13">
        <v>160</v>
      </c>
      <c r="N23" s="13">
        <v>185</v>
      </c>
      <c r="O23" s="13">
        <v>1840.2</v>
      </c>
    </row>
    <row r="24" spans="1:15" ht="12.6" x14ac:dyDescent="0.45">
      <c r="A24" s="21" t="s">
        <v>16</v>
      </c>
      <c r="B24" s="12" t="s">
        <v>136</v>
      </c>
      <c r="C24" s="13">
        <v>0</v>
      </c>
      <c r="D24" s="13">
        <v>4500</v>
      </c>
      <c r="E24" s="13">
        <v>3499</v>
      </c>
      <c r="F24" s="13">
        <v>350</v>
      </c>
      <c r="G24" s="13">
        <v>0</v>
      </c>
      <c r="H24" s="13">
        <v>0</v>
      </c>
      <c r="I24" s="13">
        <v>0</v>
      </c>
      <c r="J24" s="13">
        <v>2440</v>
      </c>
      <c r="K24" s="13">
        <v>0</v>
      </c>
      <c r="L24" s="13">
        <v>0</v>
      </c>
      <c r="M24" s="13">
        <v>404.5</v>
      </c>
      <c r="N24" s="13">
        <v>718.22</v>
      </c>
      <c r="O24" s="13">
        <v>11911.72</v>
      </c>
    </row>
    <row r="25" spans="1:15" ht="12.6" x14ac:dyDescent="0.45">
      <c r="A25" s="21" t="s">
        <v>16</v>
      </c>
      <c r="B25" s="12" t="s">
        <v>137</v>
      </c>
      <c r="C25" s="13">
        <v>582</v>
      </c>
      <c r="D25" s="13">
        <v>339.07</v>
      </c>
      <c r="E25" s="13">
        <v>64.77</v>
      </c>
      <c r="F25" s="13">
        <v>949.5</v>
      </c>
      <c r="G25" s="13">
        <v>410</v>
      </c>
      <c r="H25" s="13">
        <v>1474</v>
      </c>
      <c r="I25" s="13">
        <v>969</v>
      </c>
      <c r="J25" s="13">
        <v>1003.8</v>
      </c>
      <c r="K25" s="13">
        <v>863.5</v>
      </c>
      <c r="L25" s="13">
        <v>1166.4000000000001</v>
      </c>
      <c r="M25" s="13">
        <v>104.9</v>
      </c>
      <c r="N25" s="13">
        <v>629.5</v>
      </c>
      <c r="O25" s="13">
        <v>8556.44</v>
      </c>
    </row>
    <row r="26" spans="1:15" ht="12.6" x14ac:dyDescent="0.45">
      <c r="A26" s="21" t="s">
        <v>16</v>
      </c>
      <c r="B26" s="12" t="s">
        <v>138</v>
      </c>
      <c r="C26" s="13">
        <v>50</v>
      </c>
      <c r="D26" s="13">
        <v>0</v>
      </c>
      <c r="E26" s="13">
        <v>7</v>
      </c>
      <c r="F26" s="13">
        <v>93</v>
      </c>
      <c r="G26" s="13">
        <v>0</v>
      </c>
      <c r="H26" s="13">
        <v>0</v>
      </c>
      <c r="I26" s="13">
        <v>100</v>
      </c>
      <c r="J26" s="13">
        <v>200</v>
      </c>
      <c r="K26" s="13">
        <v>150</v>
      </c>
      <c r="L26" s="13">
        <v>50</v>
      </c>
      <c r="M26" s="13">
        <v>50</v>
      </c>
      <c r="N26" s="13">
        <v>0</v>
      </c>
      <c r="O26" s="13">
        <v>700</v>
      </c>
    </row>
    <row r="27" spans="1:15" ht="12.6" x14ac:dyDescent="0.45">
      <c r="A27" s="21" t="s">
        <v>16</v>
      </c>
      <c r="B27" s="12" t="s">
        <v>139</v>
      </c>
      <c r="C27" s="15">
        <v>400</v>
      </c>
      <c r="D27" s="15">
        <v>390</v>
      </c>
      <c r="E27" s="15">
        <v>149</v>
      </c>
      <c r="F27" s="15">
        <v>1347</v>
      </c>
      <c r="G27" s="15">
        <v>660</v>
      </c>
      <c r="H27" s="15">
        <v>0</v>
      </c>
      <c r="I27" s="15">
        <v>75</v>
      </c>
      <c r="J27" s="15">
        <v>0</v>
      </c>
      <c r="K27" s="15">
        <v>0</v>
      </c>
      <c r="L27" s="15">
        <v>225</v>
      </c>
      <c r="M27" s="15">
        <v>375</v>
      </c>
      <c r="N27" s="15">
        <v>100</v>
      </c>
      <c r="O27" s="16">
        <v>3721</v>
      </c>
    </row>
    <row r="28" spans="1:15" ht="12.6" x14ac:dyDescent="0.45">
      <c r="A28" s="21" t="s">
        <v>16</v>
      </c>
      <c r="B28" s="11" t="s">
        <v>140</v>
      </c>
      <c r="C28" s="15">
        <v>376.07</v>
      </c>
      <c r="D28" s="15">
        <v>480</v>
      </c>
      <c r="E28" s="15">
        <v>318.23</v>
      </c>
      <c r="F28" s="15">
        <v>952.5</v>
      </c>
      <c r="G28" s="15">
        <v>1135.2</v>
      </c>
      <c r="H28" s="15">
        <v>1813.87</v>
      </c>
      <c r="I28" s="15">
        <v>1627.41</v>
      </c>
      <c r="J28" s="15">
        <v>1850.61</v>
      </c>
      <c r="K28" s="15">
        <v>1627.42</v>
      </c>
      <c r="L28" s="15">
        <v>1600.97</v>
      </c>
      <c r="M28" s="15">
        <v>1633.17</v>
      </c>
      <c r="N28" s="15">
        <v>1786.45</v>
      </c>
      <c r="O28" s="16">
        <v>15201.9</v>
      </c>
    </row>
    <row r="29" spans="1:15" ht="12.6" x14ac:dyDescent="0.45">
      <c r="A29" s="21" t="s">
        <v>16</v>
      </c>
      <c r="B29" s="11" t="s">
        <v>141</v>
      </c>
      <c r="C29" s="15">
        <v>420</v>
      </c>
      <c r="D29">
        <v>0</v>
      </c>
      <c r="E29" s="15">
        <v>149</v>
      </c>
      <c r="F29">
        <v>637</v>
      </c>
      <c r="G29">
        <v>400</v>
      </c>
      <c r="H29" s="15">
        <v>0</v>
      </c>
      <c r="I29" s="15">
        <v>0</v>
      </c>
      <c r="J29" s="15">
        <v>110</v>
      </c>
      <c r="K29">
        <v>10</v>
      </c>
      <c r="L29" s="15">
        <v>110</v>
      </c>
      <c r="M29" s="15">
        <v>300</v>
      </c>
      <c r="N29">
        <v>-95</v>
      </c>
      <c r="O29" s="22">
        <v>2041</v>
      </c>
    </row>
    <row r="30" spans="1:15" ht="12.6" x14ac:dyDescent="0.45">
      <c r="A30" s="21" t="s">
        <v>12</v>
      </c>
      <c r="B30" s="11" t="s">
        <v>142</v>
      </c>
      <c r="C30" s="15">
        <v>0</v>
      </c>
      <c r="D30" s="15">
        <v>0</v>
      </c>
      <c r="E30" s="15">
        <v>0</v>
      </c>
      <c r="F30" s="15">
        <v>0</v>
      </c>
      <c r="G30" s="15">
        <v>2670</v>
      </c>
      <c r="H30" s="15">
        <v>4240</v>
      </c>
      <c r="I30" s="15">
        <v>4151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4">
        <v>11061</v>
      </c>
    </row>
    <row r="31" spans="1:15" ht="16.2" x14ac:dyDescent="0.55000000000000004">
      <c r="A31" s="21" t="s">
        <v>72</v>
      </c>
      <c r="B31" s="17" t="s">
        <v>143</v>
      </c>
      <c r="C31" s="22">
        <v>1148.04</v>
      </c>
      <c r="D31" s="22">
        <v>1127.42</v>
      </c>
      <c r="E31" s="22">
        <v>818.24</v>
      </c>
      <c r="F31" s="22">
        <v>919.17</v>
      </c>
      <c r="G31" s="22">
        <v>760.65</v>
      </c>
      <c r="H31" s="22">
        <v>705.83</v>
      </c>
      <c r="I31" s="22">
        <v>760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6239.35</v>
      </c>
    </row>
    <row r="32" spans="1:15" ht="12.6" x14ac:dyDescent="0.45">
      <c r="A32" s="21" t="s">
        <v>16</v>
      </c>
      <c r="B32" s="11" t="s">
        <v>144</v>
      </c>
      <c r="C32" s="22">
        <v>44.84</v>
      </c>
      <c r="D32" s="22">
        <v>125.97</v>
      </c>
      <c r="E32">
        <v>251.61</v>
      </c>
      <c r="F32">
        <v>619.77</v>
      </c>
      <c r="G32">
        <v>834.89</v>
      </c>
      <c r="H32">
        <v>1166.5</v>
      </c>
      <c r="I32">
        <v>1060.48</v>
      </c>
      <c r="J3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4104.0600000000004</v>
      </c>
    </row>
    <row r="33" spans="1:15" ht="12.6" x14ac:dyDescent="0.45">
      <c r="A33" s="21" t="s">
        <v>16</v>
      </c>
      <c r="B33" s="11" t="s">
        <v>145</v>
      </c>
      <c r="C33">
        <v>239.16</v>
      </c>
      <c r="D33">
        <v>250.48</v>
      </c>
      <c r="E33">
        <v>209.7</v>
      </c>
      <c r="F33">
        <v>309.66000000000003</v>
      </c>
      <c r="G33">
        <v>319.24</v>
      </c>
      <c r="H33">
        <v>372.43</v>
      </c>
      <c r="I33">
        <v>367.1</v>
      </c>
      <c r="J33">
        <v>365.97</v>
      </c>
      <c r="K33">
        <v>371.45</v>
      </c>
      <c r="L33">
        <v>355.16</v>
      </c>
      <c r="M33">
        <v>350.16</v>
      </c>
      <c r="N33">
        <v>346.94</v>
      </c>
      <c r="O33" s="22">
        <v>3857.45</v>
      </c>
    </row>
    <row r="34" spans="1:15" x14ac:dyDescent="0.4">
      <c r="A34" s="21" t="s">
        <v>16</v>
      </c>
      <c r="B34" t="s">
        <v>146</v>
      </c>
      <c r="C34">
        <v>0</v>
      </c>
      <c r="D34" s="22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6275.86</v>
      </c>
      <c r="K34">
        <v>7844.76</v>
      </c>
      <c r="L34">
        <v>6589.54</v>
      </c>
      <c r="M34">
        <v>6528.33</v>
      </c>
      <c r="N34">
        <v>6449.35</v>
      </c>
      <c r="O34" s="22">
        <v>33687.839999999997</v>
      </c>
    </row>
    <row r="35" spans="1:15" x14ac:dyDescent="0.4">
      <c r="A35" s="21" t="s">
        <v>16</v>
      </c>
      <c r="B35" t="s">
        <v>147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1530.79</v>
      </c>
      <c r="K35">
        <v>0</v>
      </c>
      <c r="L35">
        <v>1041.25</v>
      </c>
      <c r="M35" s="22">
        <v>0</v>
      </c>
      <c r="N35">
        <v>69.67</v>
      </c>
      <c r="O35" s="22">
        <v>2641.71</v>
      </c>
    </row>
    <row r="36" spans="1:15" x14ac:dyDescent="0.4">
      <c r="A36" s="21" t="s">
        <v>16</v>
      </c>
      <c r="B36" t="s">
        <v>203</v>
      </c>
      <c r="C36">
        <v>695</v>
      </c>
      <c r="D36">
        <v>730</v>
      </c>
      <c r="E36">
        <v>626.96</v>
      </c>
      <c r="F36">
        <v>1074.6099999999999</v>
      </c>
      <c r="G36">
        <v>1002.9</v>
      </c>
      <c r="H36">
        <v>1128.3399999999999</v>
      </c>
      <c r="I36" s="22">
        <v>1080</v>
      </c>
      <c r="J36" s="22">
        <v>1050</v>
      </c>
      <c r="K36" s="22">
        <v>1085</v>
      </c>
      <c r="L36" s="22">
        <v>1040</v>
      </c>
      <c r="M36" s="22">
        <v>1035.68</v>
      </c>
      <c r="N36" s="22">
        <v>1015</v>
      </c>
      <c r="O36" s="22">
        <v>11563.49</v>
      </c>
    </row>
    <row r="37" spans="1:15" x14ac:dyDescent="0.4">
      <c r="A37" s="21"/>
      <c r="B37" t="s">
        <v>148</v>
      </c>
      <c r="C37" s="22">
        <v>4240.1099999999997</v>
      </c>
      <c r="D37" s="22">
        <v>8332.94</v>
      </c>
      <c r="E37" s="22">
        <v>6362.21</v>
      </c>
      <c r="F37" s="22">
        <v>7583.38</v>
      </c>
      <c r="G37" s="22">
        <v>8683.9699999999993</v>
      </c>
      <c r="H37" s="22">
        <v>11569.14</v>
      </c>
      <c r="I37" s="22">
        <v>10519.99</v>
      </c>
      <c r="J37" s="22">
        <v>15122.03</v>
      </c>
      <c r="K37" s="22">
        <v>12237.13</v>
      </c>
      <c r="L37" s="22">
        <v>12513.32</v>
      </c>
      <c r="M37" s="22">
        <v>11116.74</v>
      </c>
      <c r="N37" s="22">
        <v>11380.13</v>
      </c>
      <c r="O37" s="22">
        <v>119661.09</v>
      </c>
    </row>
    <row r="38" spans="1:15" x14ac:dyDescent="0.4">
      <c r="A38" s="21" t="s">
        <v>18</v>
      </c>
      <c r="B38" t="s">
        <v>99</v>
      </c>
      <c r="C38" s="22">
        <v>74884.47</v>
      </c>
      <c r="D38" s="22">
        <v>70655.25</v>
      </c>
      <c r="E38" s="22">
        <v>60080.61</v>
      </c>
      <c r="F38" s="22">
        <v>85315.94</v>
      </c>
      <c r="G38" s="22">
        <v>92114.84</v>
      </c>
      <c r="H38" s="22">
        <v>102675.02</v>
      </c>
      <c r="I38" s="22">
        <v>101054.77</v>
      </c>
      <c r="J38" s="22">
        <v>106890.72</v>
      </c>
      <c r="K38" s="22">
        <v>104771.09</v>
      </c>
      <c r="L38" s="22">
        <v>103805.77</v>
      </c>
      <c r="M38" s="22">
        <v>103488.1</v>
      </c>
      <c r="N38" s="22">
        <v>102709.24</v>
      </c>
      <c r="O38" s="22">
        <v>1108445.82</v>
      </c>
    </row>
    <row r="39" spans="1:15" x14ac:dyDescent="0.4">
      <c r="A39" s="21"/>
      <c r="B39" t="s">
        <v>149</v>
      </c>
      <c r="O39" s="22"/>
    </row>
    <row r="40" spans="1:15" x14ac:dyDescent="0.4">
      <c r="A40" s="21"/>
      <c r="B40" t="s">
        <v>150</v>
      </c>
      <c r="O40" s="22"/>
    </row>
    <row r="41" spans="1:15" x14ac:dyDescent="0.4">
      <c r="A41" s="21" t="s">
        <v>29</v>
      </c>
      <c r="B41" t="s">
        <v>151</v>
      </c>
      <c r="C41">
        <v>1341.2</v>
      </c>
      <c r="D41">
        <v>1152.2</v>
      </c>
      <c r="E41">
        <v>4463.55</v>
      </c>
      <c r="F41" s="22">
        <v>3231.2</v>
      </c>
      <c r="G41" s="22">
        <v>3735.21</v>
      </c>
      <c r="H41" s="22">
        <v>3939.96</v>
      </c>
      <c r="I41" s="22">
        <v>3627.58</v>
      </c>
      <c r="J41" s="22">
        <v>5111.93</v>
      </c>
      <c r="K41" s="22">
        <v>3638.08</v>
      </c>
      <c r="L41" s="22">
        <v>4464.96</v>
      </c>
      <c r="M41" s="22">
        <v>3900.58</v>
      </c>
      <c r="N41" s="22">
        <v>2535.58</v>
      </c>
      <c r="O41" s="22">
        <v>41142.03</v>
      </c>
    </row>
    <row r="42" spans="1:15" x14ac:dyDescent="0.4">
      <c r="A42" s="21" t="s">
        <v>29</v>
      </c>
      <c r="B42" t="s">
        <v>152</v>
      </c>
      <c r="C42">
        <v>0</v>
      </c>
      <c r="D42">
        <v>0</v>
      </c>
      <c r="E42">
        <v>0</v>
      </c>
      <c r="F42">
        <v>0</v>
      </c>
      <c r="G42">
        <v>0</v>
      </c>
      <c r="H42">
        <v>1277.72</v>
      </c>
      <c r="I42">
        <v>0</v>
      </c>
      <c r="J42">
        <v>0</v>
      </c>
      <c r="K42" s="22">
        <v>0</v>
      </c>
      <c r="L42">
        <v>0</v>
      </c>
      <c r="M42">
        <v>0</v>
      </c>
      <c r="N42">
        <v>0</v>
      </c>
      <c r="O42" s="22">
        <v>1277.72</v>
      </c>
    </row>
    <row r="43" spans="1:15" x14ac:dyDescent="0.4">
      <c r="A43" s="21" t="s">
        <v>29</v>
      </c>
      <c r="B43" t="s">
        <v>153</v>
      </c>
      <c r="C43" s="22">
        <v>0</v>
      </c>
      <c r="D43" s="22">
        <v>769.45</v>
      </c>
      <c r="E43">
        <v>454.35</v>
      </c>
      <c r="F43">
        <v>1214.27</v>
      </c>
      <c r="G43">
        <v>214.5</v>
      </c>
      <c r="H43">
        <v>3322.8</v>
      </c>
      <c r="I43" s="22">
        <v>1238.45</v>
      </c>
      <c r="J43">
        <v>0</v>
      </c>
      <c r="K43" s="22">
        <v>390</v>
      </c>
      <c r="L43" s="22">
        <v>2930.13</v>
      </c>
      <c r="M43">
        <v>0</v>
      </c>
      <c r="N43">
        <v>1733.56</v>
      </c>
      <c r="O43" s="22">
        <v>12267.51</v>
      </c>
    </row>
    <row r="44" spans="1:15" x14ac:dyDescent="0.4">
      <c r="A44" s="21" t="s">
        <v>29</v>
      </c>
      <c r="B44" t="s">
        <v>154</v>
      </c>
      <c r="C44">
        <v>0</v>
      </c>
      <c r="D44">
        <v>400</v>
      </c>
      <c r="E44">
        <v>0</v>
      </c>
      <c r="F44">
        <v>1800</v>
      </c>
      <c r="G44">
        <v>1100</v>
      </c>
      <c r="H44">
        <v>600</v>
      </c>
      <c r="I44" s="22">
        <v>300</v>
      </c>
      <c r="J44" s="22">
        <v>0</v>
      </c>
      <c r="K44">
        <v>480</v>
      </c>
      <c r="L44">
        <v>1080</v>
      </c>
      <c r="M44">
        <v>120</v>
      </c>
      <c r="N44">
        <v>135</v>
      </c>
      <c r="O44" s="22">
        <v>6015</v>
      </c>
    </row>
    <row r="45" spans="1:15" x14ac:dyDescent="0.4">
      <c r="A45" s="21" t="s">
        <v>29</v>
      </c>
      <c r="B45" t="s">
        <v>155</v>
      </c>
      <c r="C45" s="22">
        <v>153.51</v>
      </c>
      <c r="D45">
        <v>178.7</v>
      </c>
      <c r="E45">
        <v>350.5</v>
      </c>
      <c r="F45">
        <v>423.56</v>
      </c>
      <c r="G45">
        <v>380.46</v>
      </c>
      <c r="H45">
        <v>341.75</v>
      </c>
      <c r="I45">
        <v>271.95</v>
      </c>
      <c r="J45">
        <v>666.79</v>
      </c>
      <c r="K45">
        <v>520.01</v>
      </c>
      <c r="L45">
        <v>435.68</v>
      </c>
      <c r="M45">
        <v>300.16000000000003</v>
      </c>
      <c r="N45">
        <v>200.95</v>
      </c>
      <c r="O45" s="22">
        <v>4224.0200000000004</v>
      </c>
    </row>
    <row r="46" spans="1:15" x14ac:dyDescent="0.4">
      <c r="A46" s="21" t="s">
        <v>29</v>
      </c>
      <c r="B46" t="s">
        <v>156</v>
      </c>
      <c r="C46">
        <v>23.36</v>
      </c>
      <c r="D46">
        <v>2.14</v>
      </c>
      <c r="E46">
        <v>2.48</v>
      </c>
      <c r="F46">
        <v>7.11</v>
      </c>
      <c r="G46">
        <v>27.14</v>
      </c>
      <c r="H46">
        <v>14.83</v>
      </c>
      <c r="I46">
        <v>7.24</v>
      </c>
      <c r="J46">
        <v>5.79</v>
      </c>
      <c r="K46">
        <v>4.76</v>
      </c>
      <c r="L46">
        <v>19.420000000000002</v>
      </c>
      <c r="M46">
        <v>18.13</v>
      </c>
      <c r="N46">
        <v>9.49</v>
      </c>
      <c r="O46" s="22">
        <v>141.88999999999999</v>
      </c>
    </row>
    <row r="47" spans="1:15" x14ac:dyDescent="0.4">
      <c r="A47" s="21"/>
      <c r="B47" t="s">
        <v>157</v>
      </c>
      <c r="C47">
        <v>1518.07</v>
      </c>
      <c r="D47" s="22">
        <v>2502.4899999999998</v>
      </c>
      <c r="E47">
        <v>5270.88</v>
      </c>
      <c r="F47">
        <v>6676.14</v>
      </c>
      <c r="G47">
        <v>5457.31</v>
      </c>
      <c r="H47">
        <v>9497.06</v>
      </c>
      <c r="I47">
        <v>5445.22</v>
      </c>
      <c r="J47">
        <v>5784.51</v>
      </c>
      <c r="K47" s="22">
        <v>5032.8500000000004</v>
      </c>
      <c r="L47">
        <v>8930.19</v>
      </c>
      <c r="M47">
        <v>4338.87</v>
      </c>
      <c r="N47">
        <v>4614.58</v>
      </c>
      <c r="O47" s="22">
        <v>65068.17</v>
      </c>
    </row>
    <row r="48" spans="1:15" x14ac:dyDescent="0.4">
      <c r="A48" s="21"/>
      <c r="B48" t="s">
        <v>158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4">
      <c r="A49" s="21" t="s">
        <v>25</v>
      </c>
      <c r="B49" t="s">
        <v>159</v>
      </c>
      <c r="C49">
        <v>10.8</v>
      </c>
      <c r="D49">
        <v>55.04</v>
      </c>
      <c r="E49">
        <v>263.47000000000003</v>
      </c>
      <c r="F49">
        <v>14.6</v>
      </c>
      <c r="G49">
        <v>638.36</v>
      </c>
      <c r="H49">
        <v>34.770000000000003</v>
      </c>
      <c r="I49">
        <v>16.899999999999999</v>
      </c>
      <c r="J49">
        <v>217.3</v>
      </c>
      <c r="K49" s="22">
        <v>9.4600000000000009</v>
      </c>
      <c r="L49">
        <v>9.6</v>
      </c>
      <c r="M49">
        <v>315.18</v>
      </c>
      <c r="N49" s="22">
        <v>10</v>
      </c>
      <c r="O49" s="22">
        <v>1595.48</v>
      </c>
    </row>
    <row r="50" spans="1:15" x14ac:dyDescent="0.4">
      <c r="A50" s="21" t="s">
        <v>25</v>
      </c>
      <c r="B50" t="s">
        <v>160</v>
      </c>
      <c r="C50">
        <v>0</v>
      </c>
      <c r="D50">
        <v>34.119999999999997</v>
      </c>
      <c r="E50">
        <v>90.12</v>
      </c>
      <c r="F50">
        <v>8.76</v>
      </c>
      <c r="G50">
        <v>23.68</v>
      </c>
      <c r="H50">
        <v>56.94</v>
      </c>
      <c r="I50">
        <v>28.57</v>
      </c>
      <c r="J50">
        <v>21.5</v>
      </c>
      <c r="K50" s="22">
        <v>42.99</v>
      </c>
      <c r="L50">
        <v>25.07</v>
      </c>
      <c r="M50">
        <v>64.13</v>
      </c>
      <c r="N50" s="22">
        <v>60.83</v>
      </c>
      <c r="O50" s="22">
        <v>456.71</v>
      </c>
    </row>
    <row r="51" spans="1:15" x14ac:dyDescent="0.4">
      <c r="A51" s="21" t="s">
        <v>25</v>
      </c>
      <c r="B51" t="s">
        <v>161</v>
      </c>
      <c r="C51">
        <v>148.74</v>
      </c>
      <c r="D51">
        <v>0</v>
      </c>
      <c r="E51">
        <v>200</v>
      </c>
      <c r="F51">
        <v>385</v>
      </c>
      <c r="G51">
        <v>1027.5999999999999</v>
      </c>
      <c r="H51">
        <v>0</v>
      </c>
      <c r="I51">
        <v>0</v>
      </c>
      <c r="J51">
        <v>189</v>
      </c>
      <c r="K51">
        <v>0</v>
      </c>
      <c r="L51">
        <v>837.2</v>
      </c>
      <c r="M51">
        <v>249.98</v>
      </c>
      <c r="N51">
        <v>0</v>
      </c>
      <c r="O51">
        <v>3037.52</v>
      </c>
    </row>
    <row r="52" spans="1:15" x14ac:dyDescent="0.4">
      <c r="A52" s="21" t="s">
        <v>25</v>
      </c>
      <c r="B52" t="s">
        <v>162</v>
      </c>
      <c r="C52">
        <v>55.36</v>
      </c>
      <c r="D52">
        <v>0</v>
      </c>
      <c r="E52">
        <v>0</v>
      </c>
      <c r="F52">
        <v>134.56</v>
      </c>
      <c r="G52">
        <v>0</v>
      </c>
      <c r="H52">
        <v>0</v>
      </c>
      <c r="I52">
        <v>0</v>
      </c>
      <c r="J52">
        <v>0</v>
      </c>
      <c r="K52">
        <v>0</v>
      </c>
      <c r="L52">
        <v>796.31</v>
      </c>
      <c r="M52">
        <v>1592.6</v>
      </c>
      <c r="N52">
        <v>0</v>
      </c>
      <c r="O52">
        <v>2578.83</v>
      </c>
    </row>
    <row r="53" spans="1:15" x14ac:dyDescent="0.4">
      <c r="A53" s="21" t="s">
        <v>25</v>
      </c>
      <c r="B53" t="s">
        <v>163</v>
      </c>
      <c r="C53">
        <v>93.36</v>
      </c>
      <c r="D53">
        <v>93.36</v>
      </c>
      <c r="E53">
        <v>93.36</v>
      </c>
      <c r="F53">
        <v>93.36</v>
      </c>
      <c r="G53">
        <v>93.36</v>
      </c>
      <c r="H53">
        <v>93.36</v>
      </c>
      <c r="I53">
        <v>0</v>
      </c>
      <c r="J53" s="22">
        <v>6.81</v>
      </c>
      <c r="K53">
        <v>0</v>
      </c>
      <c r="L53">
        <v>3.2</v>
      </c>
      <c r="M53">
        <v>30.44</v>
      </c>
      <c r="N53">
        <v>30.44</v>
      </c>
      <c r="O53" s="22">
        <v>631.04999999999995</v>
      </c>
    </row>
    <row r="54" spans="1:15" x14ac:dyDescent="0.4">
      <c r="A54" s="21" t="s">
        <v>25</v>
      </c>
      <c r="B54" t="s">
        <v>164</v>
      </c>
      <c r="C54" s="22">
        <v>0</v>
      </c>
      <c r="D54">
        <v>2482.98</v>
      </c>
      <c r="E54">
        <v>0</v>
      </c>
      <c r="F54">
        <v>0</v>
      </c>
      <c r="G54">
        <v>0</v>
      </c>
      <c r="H54">
        <v>0</v>
      </c>
      <c r="I54">
        <v>1696.25</v>
      </c>
      <c r="J54">
        <v>0</v>
      </c>
      <c r="K54">
        <v>0</v>
      </c>
      <c r="L54">
        <v>0</v>
      </c>
      <c r="M54">
        <v>0</v>
      </c>
      <c r="N54">
        <v>0</v>
      </c>
      <c r="O54" s="22">
        <v>4179.2299999999996</v>
      </c>
    </row>
    <row r="55" spans="1:15" x14ac:dyDescent="0.4">
      <c r="A55" s="21" t="s">
        <v>25</v>
      </c>
      <c r="B55" t="s">
        <v>165</v>
      </c>
      <c r="C55">
        <v>200</v>
      </c>
      <c r="D55">
        <v>188.95</v>
      </c>
      <c r="E55">
        <v>0</v>
      </c>
      <c r="F55">
        <v>0</v>
      </c>
      <c r="G55">
        <v>0</v>
      </c>
      <c r="H55">
        <v>0</v>
      </c>
      <c r="I55">
        <v>154.22</v>
      </c>
      <c r="J55">
        <v>0</v>
      </c>
      <c r="K55">
        <v>0</v>
      </c>
      <c r="L55">
        <v>0</v>
      </c>
      <c r="M55">
        <v>0</v>
      </c>
      <c r="N55">
        <v>0</v>
      </c>
      <c r="O55">
        <v>543.16999999999996</v>
      </c>
    </row>
    <row r="56" spans="1:15" x14ac:dyDescent="0.4">
      <c r="A56" s="21" t="s">
        <v>25</v>
      </c>
      <c r="B56" t="s">
        <v>166</v>
      </c>
      <c r="C56" s="22">
        <v>728.9</v>
      </c>
      <c r="D56" s="22">
        <v>27.76</v>
      </c>
      <c r="E56" s="22">
        <v>904.74</v>
      </c>
      <c r="F56" s="22">
        <v>872.29</v>
      </c>
      <c r="G56" s="22">
        <v>223.25</v>
      </c>
      <c r="H56" s="22">
        <v>101.27</v>
      </c>
      <c r="I56" s="22">
        <v>218.67</v>
      </c>
      <c r="J56" s="22">
        <v>2043.21</v>
      </c>
      <c r="K56" s="22">
        <v>190.01</v>
      </c>
      <c r="L56" s="22">
        <v>128.94999999999999</v>
      </c>
      <c r="M56" s="22">
        <v>721.66</v>
      </c>
      <c r="N56" s="22">
        <v>755.99</v>
      </c>
      <c r="O56" s="22">
        <v>6916.7</v>
      </c>
    </row>
    <row r="57" spans="1:15" x14ac:dyDescent="0.4">
      <c r="A57" s="21" t="s">
        <v>25</v>
      </c>
      <c r="B57" t="s">
        <v>167</v>
      </c>
      <c r="C57">
        <v>164.7</v>
      </c>
      <c r="D57">
        <v>195.23</v>
      </c>
      <c r="E57">
        <v>184.09</v>
      </c>
      <c r="F57">
        <v>164.41</v>
      </c>
      <c r="G57">
        <v>234.88</v>
      </c>
      <c r="H57">
        <v>158.19999999999999</v>
      </c>
      <c r="I57">
        <v>130.54</v>
      </c>
      <c r="J57">
        <v>137.27000000000001</v>
      </c>
      <c r="K57">
        <v>186.47</v>
      </c>
      <c r="L57">
        <v>188.54</v>
      </c>
      <c r="M57">
        <v>142.34</v>
      </c>
      <c r="N57">
        <v>106.75</v>
      </c>
      <c r="O57">
        <v>1993.42</v>
      </c>
    </row>
    <row r="58" spans="1:15" x14ac:dyDescent="0.4">
      <c r="A58" s="21" t="s">
        <v>25</v>
      </c>
      <c r="B58" t="s">
        <v>168</v>
      </c>
      <c r="C58" s="22">
        <v>26.52</v>
      </c>
      <c r="D58" s="22">
        <v>0</v>
      </c>
      <c r="E58" s="22">
        <v>230.17</v>
      </c>
      <c r="F58" s="22">
        <v>226.67</v>
      </c>
      <c r="G58" s="22">
        <v>0</v>
      </c>
      <c r="H58" s="22">
        <v>0</v>
      </c>
      <c r="I58" s="22">
        <v>475</v>
      </c>
      <c r="J58" s="22">
        <v>0</v>
      </c>
      <c r="K58" s="22">
        <v>0</v>
      </c>
      <c r="L58">
        <v>0</v>
      </c>
      <c r="M58" s="22">
        <v>0</v>
      </c>
      <c r="N58">
        <v>0</v>
      </c>
      <c r="O58" s="22">
        <v>958.36</v>
      </c>
    </row>
    <row r="59" spans="1:15" x14ac:dyDescent="0.4">
      <c r="A59" s="21"/>
      <c r="B59" t="s">
        <v>169</v>
      </c>
      <c r="C59">
        <v>1428.38</v>
      </c>
      <c r="D59">
        <v>3077.44</v>
      </c>
      <c r="E59">
        <v>1965.95</v>
      </c>
      <c r="F59">
        <v>1899.65</v>
      </c>
      <c r="G59">
        <v>2241.13</v>
      </c>
      <c r="H59">
        <v>444.54</v>
      </c>
      <c r="I59">
        <v>2720.15</v>
      </c>
      <c r="J59">
        <v>2615.09</v>
      </c>
      <c r="K59">
        <v>428.93</v>
      </c>
      <c r="L59">
        <v>1988.87</v>
      </c>
      <c r="M59">
        <v>3116.33</v>
      </c>
      <c r="N59">
        <v>964.01</v>
      </c>
      <c r="O59" s="22">
        <v>22890.47</v>
      </c>
    </row>
    <row r="60" spans="1:15" x14ac:dyDescent="0.4">
      <c r="A60" s="21"/>
      <c r="B60" t="s">
        <v>22</v>
      </c>
      <c r="K60" s="22"/>
      <c r="O60" s="22"/>
    </row>
    <row r="61" spans="1:15" x14ac:dyDescent="0.4">
      <c r="A61" s="21" t="s">
        <v>21</v>
      </c>
      <c r="B61" t="s">
        <v>170</v>
      </c>
      <c r="C61" s="22">
        <v>0</v>
      </c>
      <c r="D61">
        <v>0</v>
      </c>
      <c r="E61" s="22">
        <v>0</v>
      </c>
      <c r="F61" s="22">
        <v>0</v>
      </c>
      <c r="G61" s="22">
        <v>0</v>
      </c>
      <c r="H61" s="22">
        <v>0</v>
      </c>
      <c r="I61" s="22">
        <v>1604.27</v>
      </c>
      <c r="J61" s="22">
        <v>0</v>
      </c>
      <c r="K61">
        <v>0</v>
      </c>
      <c r="L61" s="22">
        <v>0</v>
      </c>
      <c r="M61" s="22">
        <v>0</v>
      </c>
      <c r="N61">
        <v>392</v>
      </c>
      <c r="O61" s="22">
        <v>1996.27</v>
      </c>
    </row>
    <row r="62" spans="1:15" x14ac:dyDescent="0.4">
      <c r="A62" s="21" t="s">
        <v>21</v>
      </c>
      <c r="B62" t="s">
        <v>171</v>
      </c>
      <c r="C62">
        <v>811.88</v>
      </c>
      <c r="D62">
        <v>811.88</v>
      </c>
      <c r="E62">
        <v>811.88</v>
      </c>
      <c r="F62">
        <v>811.88</v>
      </c>
      <c r="G62">
        <v>811.88</v>
      </c>
      <c r="H62">
        <v>811.88</v>
      </c>
      <c r="I62">
        <v>811.88</v>
      </c>
      <c r="J62">
        <v>811.88</v>
      </c>
      <c r="K62">
        <v>811.88</v>
      </c>
      <c r="L62">
        <v>811.88</v>
      </c>
      <c r="M62">
        <v>811.88</v>
      </c>
      <c r="N62">
        <v>811.88</v>
      </c>
      <c r="O62" s="22">
        <v>9742.56</v>
      </c>
    </row>
    <row r="63" spans="1:15" x14ac:dyDescent="0.4">
      <c r="A63" s="21" t="s">
        <v>21</v>
      </c>
      <c r="B63" t="s">
        <v>172</v>
      </c>
      <c r="C63" s="22">
        <v>0</v>
      </c>
      <c r="D63" s="22">
        <v>0</v>
      </c>
      <c r="E63" s="22">
        <v>447.55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447.55</v>
      </c>
    </row>
    <row r="64" spans="1:15" x14ac:dyDescent="0.4">
      <c r="A64" s="21" t="s">
        <v>21</v>
      </c>
      <c r="B64" t="s">
        <v>173</v>
      </c>
      <c r="C64">
        <v>0</v>
      </c>
      <c r="D64">
        <v>0</v>
      </c>
      <c r="E64">
        <v>107.98</v>
      </c>
      <c r="F64">
        <v>0</v>
      </c>
      <c r="G64">
        <v>363.97</v>
      </c>
      <c r="H64">
        <v>107.98</v>
      </c>
      <c r="I64">
        <v>107.98</v>
      </c>
      <c r="J64">
        <v>118.78</v>
      </c>
      <c r="K64">
        <v>0</v>
      </c>
      <c r="L64" s="22">
        <v>237.56</v>
      </c>
      <c r="M64">
        <v>0</v>
      </c>
      <c r="N64">
        <v>237.56</v>
      </c>
      <c r="O64" s="22">
        <v>1281.81</v>
      </c>
    </row>
    <row r="65" spans="1:15" x14ac:dyDescent="0.4">
      <c r="A65" s="21" t="s">
        <v>21</v>
      </c>
      <c r="B65" t="s">
        <v>174</v>
      </c>
      <c r="C65">
        <v>0</v>
      </c>
      <c r="D65" s="22">
        <v>0</v>
      </c>
      <c r="E65" s="22">
        <v>0</v>
      </c>
      <c r="F65">
        <v>0</v>
      </c>
      <c r="G65">
        <v>0</v>
      </c>
      <c r="H65">
        <v>0</v>
      </c>
      <c r="I65">
        <v>584.55999999999995</v>
      </c>
      <c r="J65">
        <v>0</v>
      </c>
      <c r="K65">
        <v>681.99</v>
      </c>
      <c r="L65">
        <v>2432.06</v>
      </c>
      <c r="M65">
        <v>0</v>
      </c>
      <c r="N65">
        <v>1694.8</v>
      </c>
      <c r="O65" s="22">
        <v>5393.41</v>
      </c>
    </row>
    <row r="66" spans="1:15" x14ac:dyDescent="0.4">
      <c r="A66" s="21" t="s">
        <v>21</v>
      </c>
      <c r="B66" t="s">
        <v>175</v>
      </c>
      <c r="C66">
        <v>1203.2</v>
      </c>
      <c r="D66">
        <v>1203.2</v>
      </c>
      <c r="E66">
        <v>1203.21</v>
      </c>
      <c r="F66">
        <v>4690.54</v>
      </c>
      <c r="G66">
        <v>0</v>
      </c>
      <c r="H66">
        <v>2063.27</v>
      </c>
      <c r="I66">
        <v>0</v>
      </c>
      <c r="J66">
        <v>1806.42</v>
      </c>
      <c r="K66">
        <v>0</v>
      </c>
      <c r="L66" s="22">
        <v>1815.35</v>
      </c>
      <c r="M66" s="22">
        <v>3761.86</v>
      </c>
      <c r="N66" s="22">
        <v>0</v>
      </c>
      <c r="O66" s="22">
        <v>17747.05</v>
      </c>
    </row>
    <row r="67" spans="1:15" x14ac:dyDescent="0.4">
      <c r="A67" s="21"/>
      <c r="B67" t="s">
        <v>176</v>
      </c>
      <c r="C67">
        <v>2015.08</v>
      </c>
      <c r="D67">
        <v>2015.08</v>
      </c>
      <c r="E67">
        <v>2570.62</v>
      </c>
      <c r="F67">
        <v>5502.42</v>
      </c>
      <c r="G67">
        <v>1175.8499999999999</v>
      </c>
      <c r="H67">
        <v>2983.13</v>
      </c>
      <c r="I67">
        <v>3108.69</v>
      </c>
      <c r="J67">
        <v>2737.08</v>
      </c>
      <c r="K67">
        <v>1493.87</v>
      </c>
      <c r="L67">
        <v>5296.85</v>
      </c>
      <c r="M67">
        <v>4573.74</v>
      </c>
      <c r="N67">
        <v>3136.24</v>
      </c>
      <c r="O67" s="22">
        <v>36608.65</v>
      </c>
    </row>
    <row r="68" spans="1:15" x14ac:dyDescent="0.4">
      <c r="A68" s="21"/>
      <c r="B68" t="s">
        <v>28</v>
      </c>
      <c r="K68" s="22"/>
      <c r="O68" s="22"/>
    </row>
    <row r="69" spans="1:15" x14ac:dyDescent="0.4">
      <c r="A69" s="21" t="s">
        <v>27</v>
      </c>
      <c r="B69" t="s">
        <v>177</v>
      </c>
      <c r="C69">
        <v>0</v>
      </c>
      <c r="D69">
        <v>0</v>
      </c>
      <c r="E69" s="22">
        <v>0</v>
      </c>
      <c r="F69" s="22">
        <v>1377.78</v>
      </c>
      <c r="G69" s="22">
        <v>908</v>
      </c>
      <c r="H69" s="22">
        <v>0</v>
      </c>
      <c r="I69" s="22">
        <v>0</v>
      </c>
      <c r="J69">
        <v>0</v>
      </c>
      <c r="K69" s="22">
        <v>1816</v>
      </c>
      <c r="L69">
        <v>0</v>
      </c>
      <c r="M69" s="22">
        <v>908</v>
      </c>
      <c r="N69">
        <v>454</v>
      </c>
      <c r="O69" s="22">
        <v>5463.78</v>
      </c>
    </row>
    <row r="70" spans="1:15" x14ac:dyDescent="0.4">
      <c r="A70" s="21" t="s">
        <v>27</v>
      </c>
      <c r="B70" t="s">
        <v>178</v>
      </c>
      <c r="C70" s="22">
        <v>0</v>
      </c>
      <c r="D70" s="22">
        <v>0</v>
      </c>
      <c r="E70" s="22">
        <v>0</v>
      </c>
      <c r="F70" s="22">
        <v>141.25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141.25</v>
      </c>
    </row>
    <row r="71" spans="1:15" x14ac:dyDescent="0.4">
      <c r="A71" s="21" t="s">
        <v>27</v>
      </c>
      <c r="B71" t="s">
        <v>179</v>
      </c>
      <c r="C71">
        <v>0</v>
      </c>
      <c r="D71">
        <v>998.08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998.08</v>
      </c>
    </row>
    <row r="72" spans="1:15" x14ac:dyDescent="0.4">
      <c r="A72" s="21" t="s">
        <v>27</v>
      </c>
      <c r="B72" t="s">
        <v>180</v>
      </c>
      <c r="C72">
        <v>0</v>
      </c>
      <c r="D72" s="22">
        <v>0</v>
      </c>
      <c r="E72">
        <v>127.55</v>
      </c>
      <c r="F72">
        <v>0</v>
      </c>
      <c r="G72">
        <v>138.5</v>
      </c>
      <c r="H72">
        <v>0</v>
      </c>
      <c r="I72" s="22">
        <v>0</v>
      </c>
      <c r="J72">
        <v>0</v>
      </c>
      <c r="K72">
        <v>250</v>
      </c>
      <c r="L72">
        <v>0</v>
      </c>
      <c r="M72">
        <v>0</v>
      </c>
      <c r="N72" s="22">
        <v>0</v>
      </c>
      <c r="O72" s="22">
        <v>516.04999999999995</v>
      </c>
    </row>
    <row r="73" spans="1:15" x14ac:dyDescent="0.4">
      <c r="A73" s="21" t="s">
        <v>27</v>
      </c>
      <c r="B73" t="s">
        <v>181</v>
      </c>
      <c r="C73">
        <v>0</v>
      </c>
      <c r="D73">
        <v>473.05</v>
      </c>
      <c r="E73">
        <v>127.55</v>
      </c>
      <c r="F73">
        <v>0</v>
      </c>
      <c r="G73">
        <v>37.49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638.09</v>
      </c>
    </row>
    <row r="74" spans="1:15" x14ac:dyDescent="0.4">
      <c r="A74" s="21"/>
      <c r="B74" t="s">
        <v>182</v>
      </c>
      <c r="C74">
        <v>0</v>
      </c>
      <c r="D74">
        <v>1471.13</v>
      </c>
      <c r="E74">
        <v>255.1</v>
      </c>
      <c r="F74">
        <v>1519.03</v>
      </c>
      <c r="G74">
        <v>1083.99</v>
      </c>
      <c r="H74">
        <v>0</v>
      </c>
      <c r="I74">
        <v>0</v>
      </c>
      <c r="J74">
        <v>0</v>
      </c>
      <c r="K74">
        <v>2066</v>
      </c>
      <c r="L74">
        <v>0</v>
      </c>
      <c r="M74">
        <v>908</v>
      </c>
      <c r="N74">
        <v>454</v>
      </c>
      <c r="O74">
        <v>7757.25</v>
      </c>
    </row>
    <row r="75" spans="1:15" x14ac:dyDescent="0.4">
      <c r="A75" s="21"/>
      <c r="B75" t="s">
        <v>183</v>
      </c>
    </row>
    <row r="76" spans="1:15" x14ac:dyDescent="0.4">
      <c r="A76" s="21" t="s">
        <v>23</v>
      </c>
      <c r="B76" t="s">
        <v>184</v>
      </c>
      <c r="C76">
        <v>0</v>
      </c>
      <c r="D76">
        <v>21.62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-32.119999999999997</v>
      </c>
      <c r="O76">
        <v>-10.5</v>
      </c>
    </row>
    <row r="77" spans="1:15" x14ac:dyDescent="0.4">
      <c r="A77" s="21" t="s">
        <v>23</v>
      </c>
      <c r="B77" t="s">
        <v>185</v>
      </c>
      <c r="C77">
        <v>1828.3</v>
      </c>
      <c r="D77" s="22">
        <v>5574.56</v>
      </c>
      <c r="E77">
        <v>1910</v>
      </c>
      <c r="F77">
        <v>3200.6</v>
      </c>
      <c r="G77" s="22">
        <v>9664.6200000000008</v>
      </c>
      <c r="H77">
        <v>2274.8000000000002</v>
      </c>
      <c r="I77" s="22">
        <v>0</v>
      </c>
      <c r="J77" s="22">
        <v>443.83</v>
      </c>
      <c r="K77">
        <v>33.53</v>
      </c>
      <c r="L77">
        <v>1010.8</v>
      </c>
      <c r="M77">
        <v>2716</v>
      </c>
      <c r="N77" s="22">
        <v>1377.4</v>
      </c>
      <c r="O77" s="22">
        <v>30034.44</v>
      </c>
    </row>
    <row r="78" spans="1:15" x14ac:dyDescent="0.4">
      <c r="A78" s="21" t="s">
        <v>23</v>
      </c>
      <c r="B78" t="s">
        <v>186</v>
      </c>
      <c r="C78">
        <v>0</v>
      </c>
      <c r="D78">
        <v>260.68</v>
      </c>
      <c r="E78">
        <v>0</v>
      </c>
      <c r="F78">
        <v>359.23</v>
      </c>
      <c r="G78">
        <v>23.71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643.62</v>
      </c>
    </row>
    <row r="79" spans="1:15" x14ac:dyDescent="0.4">
      <c r="A79" s="21" t="s">
        <v>23</v>
      </c>
      <c r="B79" t="s">
        <v>187</v>
      </c>
      <c r="C79">
        <v>63.36</v>
      </c>
      <c r="D79">
        <v>92.88</v>
      </c>
      <c r="E79">
        <v>0</v>
      </c>
      <c r="F79">
        <v>25.94</v>
      </c>
      <c r="G79">
        <v>154.66</v>
      </c>
      <c r="H79">
        <v>103.4</v>
      </c>
      <c r="I79">
        <v>0</v>
      </c>
      <c r="J79">
        <v>0</v>
      </c>
      <c r="K79">
        <v>94.77</v>
      </c>
      <c r="L79">
        <v>12.59</v>
      </c>
      <c r="M79">
        <v>0</v>
      </c>
      <c r="N79">
        <v>0</v>
      </c>
      <c r="O79">
        <v>547.6</v>
      </c>
    </row>
    <row r="80" spans="1:15" x14ac:dyDescent="0.4">
      <c r="A80" s="21" t="s">
        <v>23</v>
      </c>
      <c r="B80" t="s">
        <v>188</v>
      </c>
      <c r="C80">
        <v>0</v>
      </c>
      <c r="D80">
        <v>350.02</v>
      </c>
      <c r="E80">
        <v>0</v>
      </c>
      <c r="F80" s="22">
        <v>165.75</v>
      </c>
      <c r="G80" s="22">
        <v>1213.2</v>
      </c>
      <c r="H80" s="22">
        <v>283.89999999999998</v>
      </c>
      <c r="I80" s="22">
        <v>496.71</v>
      </c>
      <c r="J80" s="22">
        <v>583.30999999999995</v>
      </c>
      <c r="K80" s="22">
        <v>158.22999999999999</v>
      </c>
      <c r="L80">
        <v>1544.37</v>
      </c>
      <c r="M80">
        <v>51.96</v>
      </c>
      <c r="N80">
        <v>0</v>
      </c>
      <c r="O80" s="22">
        <v>4847.45</v>
      </c>
    </row>
    <row r="81" spans="1:15" x14ac:dyDescent="0.4">
      <c r="A81" s="21" t="s">
        <v>23</v>
      </c>
      <c r="B81" t="s">
        <v>189</v>
      </c>
      <c r="C81">
        <v>0</v>
      </c>
      <c r="D81">
        <v>180.03</v>
      </c>
      <c r="E81">
        <v>0</v>
      </c>
      <c r="F81">
        <v>558.27</v>
      </c>
      <c r="G81">
        <v>538.9</v>
      </c>
      <c r="H81">
        <v>270.62</v>
      </c>
      <c r="I81">
        <v>299.13</v>
      </c>
      <c r="J81">
        <v>0</v>
      </c>
      <c r="K81">
        <v>15.99</v>
      </c>
      <c r="L81">
        <v>249.23</v>
      </c>
      <c r="M81">
        <v>0</v>
      </c>
      <c r="N81">
        <v>968.99</v>
      </c>
      <c r="O81">
        <v>3081.16</v>
      </c>
    </row>
    <row r="82" spans="1:15" x14ac:dyDescent="0.4">
      <c r="A82" s="21" t="s">
        <v>23</v>
      </c>
      <c r="B82" t="s">
        <v>204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626.6</v>
      </c>
      <c r="L82">
        <v>0</v>
      </c>
      <c r="M82">
        <v>0</v>
      </c>
      <c r="N82">
        <v>0</v>
      </c>
      <c r="O82">
        <v>626.6</v>
      </c>
    </row>
    <row r="83" spans="1:15" x14ac:dyDescent="0.4">
      <c r="A83" s="21" t="s">
        <v>23</v>
      </c>
      <c r="B83" t="s">
        <v>190</v>
      </c>
      <c r="C83">
        <v>0</v>
      </c>
      <c r="D83">
        <v>0</v>
      </c>
      <c r="E83">
        <v>0</v>
      </c>
      <c r="F83">
        <v>351.38</v>
      </c>
      <c r="G83">
        <v>10.29</v>
      </c>
      <c r="H83">
        <v>0</v>
      </c>
      <c r="I83">
        <v>0</v>
      </c>
      <c r="J83" s="22">
        <v>0</v>
      </c>
      <c r="K83">
        <v>0</v>
      </c>
      <c r="L83">
        <v>0</v>
      </c>
      <c r="M83">
        <v>0</v>
      </c>
      <c r="N83">
        <v>0</v>
      </c>
      <c r="O83" s="22">
        <v>361.67</v>
      </c>
    </row>
    <row r="84" spans="1:15" x14ac:dyDescent="0.4">
      <c r="A84" s="21" t="s">
        <v>23</v>
      </c>
      <c r="B84" t="s">
        <v>191</v>
      </c>
      <c r="C84">
        <v>72.53</v>
      </c>
      <c r="D84">
        <v>767.46</v>
      </c>
      <c r="E84">
        <v>0</v>
      </c>
      <c r="F84">
        <v>638.51</v>
      </c>
      <c r="G84">
        <v>-57.85</v>
      </c>
      <c r="H84">
        <v>179.37</v>
      </c>
      <c r="I84">
        <v>0</v>
      </c>
      <c r="J84">
        <v>0</v>
      </c>
      <c r="K84">
        <v>240.17</v>
      </c>
      <c r="L84">
        <v>467.66</v>
      </c>
      <c r="M84">
        <v>45.45</v>
      </c>
      <c r="N84">
        <v>0</v>
      </c>
      <c r="O84" s="22">
        <v>2353.3000000000002</v>
      </c>
    </row>
    <row r="85" spans="1:15" x14ac:dyDescent="0.4">
      <c r="A85" s="21" t="s">
        <v>23</v>
      </c>
      <c r="B85" t="s">
        <v>205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708.36</v>
      </c>
      <c r="L85">
        <v>0</v>
      </c>
      <c r="M85">
        <v>0</v>
      </c>
      <c r="N85">
        <v>0</v>
      </c>
      <c r="O85">
        <v>708.36</v>
      </c>
    </row>
    <row r="86" spans="1:15" x14ac:dyDescent="0.4">
      <c r="A86" s="21" t="s">
        <v>23</v>
      </c>
      <c r="B86" t="s">
        <v>192</v>
      </c>
      <c r="C86">
        <v>0</v>
      </c>
      <c r="D86">
        <v>0</v>
      </c>
      <c r="E86">
        <v>0</v>
      </c>
      <c r="F86">
        <v>110.22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110.22</v>
      </c>
    </row>
    <row r="87" spans="1:15" x14ac:dyDescent="0.4">
      <c r="A87" s="21" t="s">
        <v>23</v>
      </c>
      <c r="B87" t="s">
        <v>193</v>
      </c>
      <c r="C87">
        <v>672.8</v>
      </c>
      <c r="D87">
        <v>483.61</v>
      </c>
      <c r="E87">
        <v>0</v>
      </c>
      <c r="F87">
        <v>402</v>
      </c>
      <c r="G87">
        <v>361.15</v>
      </c>
      <c r="H87">
        <v>78.180000000000007</v>
      </c>
      <c r="I87">
        <v>0</v>
      </c>
      <c r="J87">
        <v>0</v>
      </c>
      <c r="K87">
        <v>619.35</v>
      </c>
      <c r="L87">
        <v>416.09</v>
      </c>
      <c r="M87">
        <v>125.12</v>
      </c>
      <c r="N87">
        <v>419.02</v>
      </c>
      <c r="O87" s="22">
        <v>3577.32</v>
      </c>
    </row>
    <row r="88" spans="1:15" x14ac:dyDescent="0.4">
      <c r="A88" s="21" t="s">
        <v>23</v>
      </c>
      <c r="B88" t="s">
        <v>194</v>
      </c>
      <c r="C88">
        <v>8.51</v>
      </c>
      <c r="D88">
        <v>0</v>
      </c>
      <c r="E88">
        <v>680.42</v>
      </c>
      <c r="F88">
        <v>0</v>
      </c>
      <c r="G88">
        <v>0</v>
      </c>
      <c r="H88">
        <v>980.92</v>
      </c>
      <c r="I88">
        <v>0</v>
      </c>
      <c r="J88">
        <v>0</v>
      </c>
      <c r="K88">
        <v>280.35000000000002</v>
      </c>
      <c r="L88">
        <v>0</v>
      </c>
      <c r="M88">
        <v>0</v>
      </c>
      <c r="N88">
        <v>340.21</v>
      </c>
      <c r="O88">
        <v>2290.41</v>
      </c>
    </row>
    <row r="89" spans="1:15" x14ac:dyDescent="0.4">
      <c r="A89" s="21" t="s">
        <v>23</v>
      </c>
      <c r="B89" t="s">
        <v>195</v>
      </c>
      <c r="C89">
        <v>203.55</v>
      </c>
      <c r="D89">
        <v>0</v>
      </c>
      <c r="E89">
        <v>0</v>
      </c>
      <c r="F89">
        <v>0</v>
      </c>
      <c r="G89">
        <v>90.94</v>
      </c>
      <c r="H89">
        <v>0</v>
      </c>
      <c r="I89">
        <v>0</v>
      </c>
      <c r="J89">
        <v>0</v>
      </c>
      <c r="K89">
        <v>106.08</v>
      </c>
      <c r="L89">
        <v>0</v>
      </c>
      <c r="M89">
        <v>0</v>
      </c>
      <c r="N89">
        <v>51.92</v>
      </c>
      <c r="O89">
        <v>452.49</v>
      </c>
    </row>
    <row r="90" spans="1:15" x14ac:dyDescent="0.4">
      <c r="A90" s="21" t="s">
        <v>23</v>
      </c>
      <c r="B90" t="s">
        <v>196</v>
      </c>
      <c r="C90">
        <v>345.07</v>
      </c>
      <c r="D90">
        <v>101.71</v>
      </c>
      <c r="E90">
        <v>0</v>
      </c>
      <c r="F90">
        <v>194.84</v>
      </c>
      <c r="G90">
        <v>554.79</v>
      </c>
      <c r="H90">
        <v>61.05</v>
      </c>
      <c r="I90">
        <v>0</v>
      </c>
      <c r="J90">
        <v>0</v>
      </c>
      <c r="K90">
        <v>0</v>
      </c>
      <c r="L90">
        <v>0</v>
      </c>
      <c r="M90">
        <v>49.72</v>
      </c>
      <c r="N90">
        <v>-53.17</v>
      </c>
      <c r="O90" s="22">
        <v>1254.01</v>
      </c>
    </row>
    <row r="91" spans="1:15" x14ac:dyDescent="0.4">
      <c r="A91" s="21" t="s">
        <v>23</v>
      </c>
      <c r="B91" t="s">
        <v>197</v>
      </c>
      <c r="C91">
        <v>0</v>
      </c>
      <c r="D91">
        <v>0</v>
      </c>
      <c r="E91">
        <v>0</v>
      </c>
      <c r="F91">
        <v>423.63</v>
      </c>
      <c r="G91">
        <v>57.93</v>
      </c>
      <c r="H91">
        <v>330.04</v>
      </c>
      <c r="I91">
        <v>38.549999999999997</v>
      </c>
      <c r="J91">
        <v>0</v>
      </c>
      <c r="K91">
        <v>110.54</v>
      </c>
      <c r="L91">
        <v>77.12</v>
      </c>
      <c r="M91">
        <v>180.43</v>
      </c>
      <c r="N91">
        <v>29.42</v>
      </c>
      <c r="O91" s="22">
        <v>1247.6600000000001</v>
      </c>
    </row>
    <row r="92" spans="1:15" x14ac:dyDescent="0.4">
      <c r="A92" s="21" t="s">
        <v>23</v>
      </c>
      <c r="B92" t="s">
        <v>198</v>
      </c>
      <c r="C92">
        <v>238.26</v>
      </c>
      <c r="D92">
        <v>87.57</v>
      </c>
      <c r="E92">
        <v>0</v>
      </c>
      <c r="F92">
        <v>328.26</v>
      </c>
      <c r="G92">
        <v>234.19</v>
      </c>
      <c r="H92">
        <v>70.58</v>
      </c>
      <c r="I92">
        <v>0</v>
      </c>
      <c r="J92">
        <v>0</v>
      </c>
      <c r="K92">
        <v>0</v>
      </c>
      <c r="L92">
        <v>40.619999999999997</v>
      </c>
      <c r="M92">
        <v>69.709999999999994</v>
      </c>
      <c r="N92">
        <v>87.85</v>
      </c>
      <c r="O92" s="22">
        <v>1157.04</v>
      </c>
    </row>
    <row r="93" spans="1:15" x14ac:dyDescent="0.4">
      <c r="A93" s="21" t="s">
        <v>23</v>
      </c>
      <c r="B93" t="s">
        <v>199</v>
      </c>
      <c r="C93">
        <v>140</v>
      </c>
      <c r="D93">
        <v>1367.4</v>
      </c>
      <c r="E93">
        <v>1195</v>
      </c>
      <c r="F93">
        <v>1258.54</v>
      </c>
      <c r="G93">
        <v>94.9</v>
      </c>
      <c r="H93">
        <v>3722.05</v>
      </c>
      <c r="I93">
        <v>545</v>
      </c>
      <c r="J93">
        <v>0</v>
      </c>
      <c r="K93">
        <v>77.709999999999994</v>
      </c>
      <c r="L93">
        <v>0</v>
      </c>
      <c r="M93">
        <v>1210</v>
      </c>
      <c r="N93">
        <v>125</v>
      </c>
      <c r="O93" s="22">
        <v>9735.6</v>
      </c>
    </row>
    <row r="94" spans="1:15" x14ac:dyDescent="0.4">
      <c r="A94" s="21" t="s">
        <v>23</v>
      </c>
      <c r="B94" t="s">
        <v>200</v>
      </c>
      <c r="C94">
        <v>0</v>
      </c>
      <c r="D94">
        <v>48.44</v>
      </c>
      <c r="E94">
        <v>0</v>
      </c>
      <c r="F94">
        <v>116.77</v>
      </c>
      <c r="G94">
        <v>67.040000000000006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33.53</v>
      </c>
      <c r="O94">
        <v>265.77999999999997</v>
      </c>
    </row>
    <row r="95" spans="1:15" x14ac:dyDescent="0.4">
      <c r="A95" s="21" t="s">
        <v>23</v>
      </c>
      <c r="B95" t="s">
        <v>201</v>
      </c>
      <c r="C95">
        <v>0</v>
      </c>
      <c r="D95">
        <v>0</v>
      </c>
      <c r="E95">
        <v>0</v>
      </c>
      <c r="F95">
        <v>0</v>
      </c>
      <c r="G95">
        <v>0</v>
      </c>
      <c r="H95">
        <v>-88.57</v>
      </c>
      <c r="I95">
        <v>0</v>
      </c>
      <c r="J95">
        <v>0</v>
      </c>
      <c r="K95">
        <v>-830.06</v>
      </c>
      <c r="L95">
        <v>0</v>
      </c>
      <c r="M95">
        <v>0</v>
      </c>
      <c r="N95">
        <v>-95.17</v>
      </c>
      <c r="O95" s="22">
        <v>-1013.8</v>
      </c>
    </row>
    <row r="96" spans="1:15" x14ac:dyDescent="0.4">
      <c r="A96" s="21"/>
      <c r="B96" t="s">
        <v>202</v>
      </c>
      <c r="C96">
        <v>3572.38</v>
      </c>
      <c r="D96">
        <v>9335.98</v>
      </c>
      <c r="E96">
        <v>3785.42</v>
      </c>
      <c r="F96">
        <v>8133.94</v>
      </c>
      <c r="G96" s="22">
        <v>13008.47</v>
      </c>
      <c r="H96" s="22">
        <v>8266.34</v>
      </c>
      <c r="I96" s="22">
        <v>1379.39</v>
      </c>
      <c r="J96">
        <v>1027.1400000000001</v>
      </c>
      <c r="K96" s="22">
        <v>2241.62</v>
      </c>
      <c r="L96" s="22">
        <v>3818.48</v>
      </c>
      <c r="M96">
        <v>4448.3900000000003</v>
      </c>
      <c r="N96">
        <v>3252.88</v>
      </c>
      <c r="O96" s="22">
        <v>62270.43</v>
      </c>
    </row>
    <row r="97" spans="1:15" x14ac:dyDescent="0.4">
      <c r="A97" s="21"/>
      <c r="B97" t="s">
        <v>100</v>
      </c>
    </row>
    <row r="98" spans="1:15" x14ac:dyDescent="0.4">
      <c r="A98" s="21"/>
      <c r="B98" t="s">
        <v>101</v>
      </c>
    </row>
    <row r="99" spans="1:15" x14ac:dyDescent="0.4">
      <c r="A99" s="21" t="s">
        <v>35</v>
      </c>
      <c r="B99" t="s">
        <v>102</v>
      </c>
      <c r="C99">
        <v>618.29999999999995</v>
      </c>
      <c r="D99">
        <v>552.71</v>
      </c>
      <c r="E99">
        <v>638.36</v>
      </c>
      <c r="F99">
        <v>347.37</v>
      </c>
      <c r="G99">
        <v>648.03</v>
      </c>
      <c r="H99">
        <v>582.23</v>
      </c>
      <c r="I99">
        <v>513.13</v>
      </c>
      <c r="J99">
        <v>648.6</v>
      </c>
      <c r="K99">
        <v>622.88</v>
      </c>
      <c r="L99">
        <v>522.52</v>
      </c>
      <c r="M99">
        <v>517.48</v>
      </c>
      <c r="N99">
        <v>673.93</v>
      </c>
      <c r="O99">
        <v>6885.54</v>
      </c>
    </row>
    <row r="100" spans="1:15" x14ac:dyDescent="0.4">
      <c r="A100" s="21" t="s">
        <v>35</v>
      </c>
      <c r="B100" t="s">
        <v>103</v>
      </c>
      <c r="C100">
        <v>579.94000000000005</v>
      </c>
      <c r="D100">
        <v>830.21</v>
      </c>
      <c r="E100">
        <v>962.24</v>
      </c>
      <c r="F100">
        <v>1640.88</v>
      </c>
      <c r="G100">
        <v>866.55</v>
      </c>
      <c r="H100">
        <v>1067.5</v>
      </c>
      <c r="I100">
        <v>512.09</v>
      </c>
      <c r="J100">
        <v>196.11</v>
      </c>
      <c r="K100">
        <v>-858.19</v>
      </c>
      <c r="L100">
        <v>422.7</v>
      </c>
      <c r="M100">
        <v>261.8</v>
      </c>
      <c r="N100">
        <v>241.75</v>
      </c>
      <c r="O100">
        <v>6723.58</v>
      </c>
    </row>
    <row r="101" spans="1:15" x14ac:dyDescent="0.4">
      <c r="A101" s="21" t="s">
        <v>31</v>
      </c>
      <c r="B101" t="s">
        <v>104</v>
      </c>
      <c r="C101">
        <v>6843.75</v>
      </c>
      <c r="D101">
        <v>5492.7</v>
      </c>
      <c r="E101">
        <v>5674.43</v>
      </c>
      <c r="F101">
        <v>5635.35</v>
      </c>
      <c r="G101">
        <v>6209.14</v>
      </c>
      <c r="H101">
        <v>5149.47</v>
      </c>
      <c r="I101">
        <v>5405.45</v>
      </c>
      <c r="J101">
        <v>5337.29</v>
      </c>
      <c r="K101" s="22">
        <v>5551.64</v>
      </c>
      <c r="L101" s="22">
        <v>5448.33</v>
      </c>
      <c r="M101">
        <v>5432.76</v>
      </c>
      <c r="N101" s="22">
        <v>5831.32</v>
      </c>
      <c r="O101" s="22">
        <v>68011.63</v>
      </c>
    </row>
    <row r="102" spans="1:15" x14ac:dyDescent="0.4">
      <c r="A102" s="21" t="s">
        <v>33</v>
      </c>
      <c r="B102" t="s">
        <v>105</v>
      </c>
      <c r="C102">
        <v>0</v>
      </c>
      <c r="D102">
        <v>1518</v>
      </c>
      <c r="E102">
        <v>2418</v>
      </c>
      <c r="F102" s="22">
        <v>1518</v>
      </c>
      <c r="G102" s="22">
        <v>2440.5500000000002</v>
      </c>
      <c r="H102" s="22">
        <v>1518</v>
      </c>
      <c r="I102" s="22">
        <v>1624.2</v>
      </c>
      <c r="J102" s="22">
        <v>1624.2</v>
      </c>
      <c r="K102" s="22">
        <v>2629.26</v>
      </c>
      <c r="L102" s="22">
        <v>1624.2</v>
      </c>
      <c r="M102" s="22">
        <v>1624</v>
      </c>
      <c r="N102" s="22">
        <v>1624.2</v>
      </c>
      <c r="O102" s="22">
        <v>20162.61</v>
      </c>
    </row>
    <row r="103" spans="1:15" x14ac:dyDescent="0.4">
      <c r="A103" s="21" t="s">
        <v>33</v>
      </c>
      <c r="B103" t="s">
        <v>106</v>
      </c>
      <c r="C103">
        <v>856.6</v>
      </c>
      <c r="D103">
        <v>2550.79</v>
      </c>
      <c r="E103">
        <v>0</v>
      </c>
      <c r="F103">
        <v>772.55</v>
      </c>
      <c r="G103">
        <v>772.55</v>
      </c>
      <c r="H103">
        <v>918.53</v>
      </c>
      <c r="I103">
        <v>918.53</v>
      </c>
      <c r="J103">
        <v>263.47000000000003</v>
      </c>
      <c r="K103">
        <v>830.06</v>
      </c>
      <c r="L103" s="22">
        <v>200</v>
      </c>
      <c r="M103">
        <v>1080.06</v>
      </c>
      <c r="N103">
        <v>968.53</v>
      </c>
      <c r="O103" s="22">
        <v>10131.67</v>
      </c>
    </row>
    <row r="104" spans="1:15" x14ac:dyDescent="0.4">
      <c r="A104" s="21" t="s">
        <v>37</v>
      </c>
      <c r="B104" t="s">
        <v>107</v>
      </c>
      <c r="C104">
        <v>100.28</v>
      </c>
      <c r="D104">
        <v>73.87</v>
      </c>
      <c r="E104">
        <v>73.63</v>
      </c>
      <c r="F104">
        <v>59.92</v>
      </c>
      <c r="G104">
        <v>60.28</v>
      </c>
      <c r="H104">
        <v>480.09</v>
      </c>
      <c r="I104">
        <v>60.34</v>
      </c>
      <c r="J104">
        <v>60.34</v>
      </c>
      <c r="K104">
        <v>60.33</v>
      </c>
      <c r="L104" s="22">
        <v>60.33</v>
      </c>
      <c r="M104">
        <v>60.33</v>
      </c>
      <c r="N104">
        <v>280.79000000000002</v>
      </c>
      <c r="O104" s="22">
        <v>1430.53</v>
      </c>
    </row>
    <row r="105" spans="1:15" x14ac:dyDescent="0.4">
      <c r="A105" s="21"/>
      <c r="B105" t="s">
        <v>108</v>
      </c>
      <c r="C105" s="22">
        <v>8998.8700000000008</v>
      </c>
      <c r="D105">
        <v>11018.28</v>
      </c>
      <c r="E105" s="22">
        <v>9766.66</v>
      </c>
      <c r="F105">
        <v>9974.07</v>
      </c>
      <c r="G105">
        <v>10997.1</v>
      </c>
      <c r="H105">
        <v>9715.82</v>
      </c>
      <c r="I105">
        <v>9033.74</v>
      </c>
      <c r="J105">
        <v>8130.01</v>
      </c>
      <c r="K105">
        <v>8835.98</v>
      </c>
      <c r="L105">
        <v>8278.08</v>
      </c>
      <c r="M105">
        <v>8976.43</v>
      </c>
      <c r="N105">
        <v>9620.52</v>
      </c>
      <c r="O105" s="22">
        <v>113345.56</v>
      </c>
    </row>
    <row r="106" spans="1:15" x14ac:dyDescent="0.4">
      <c r="A106" s="21"/>
      <c r="B106" t="s">
        <v>109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</row>
    <row r="107" spans="1:15" x14ac:dyDescent="0.4">
      <c r="A107" s="21" t="s">
        <v>39</v>
      </c>
      <c r="B107" t="s">
        <v>110</v>
      </c>
      <c r="C107" s="22">
        <v>2995.38</v>
      </c>
      <c r="D107" s="22">
        <v>2826.21</v>
      </c>
      <c r="E107" s="22">
        <v>2403.2199999999998</v>
      </c>
      <c r="F107" s="22">
        <v>3412.64</v>
      </c>
      <c r="G107" s="22">
        <v>3684.59</v>
      </c>
      <c r="H107" s="22">
        <v>4107</v>
      </c>
      <c r="I107" s="22">
        <v>4022.19</v>
      </c>
      <c r="J107" s="22">
        <v>4275.63</v>
      </c>
      <c r="K107" s="22">
        <v>4190.84</v>
      </c>
      <c r="L107" s="22">
        <v>4152.2299999999996</v>
      </c>
      <c r="M107" s="22">
        <v>4019.53</v>
      </c>
      <c r="N107" s="22">
        <v>4028.37</v>
      </c>
      <c r="O107" s="22">
        <v>44117.83</v>
      </c>
    </row>
    <row r="108" spans="1:15" x14ac:dyDescent="0.4">
      <c r="A108" s="21"/>
      <c r="B108" t="s">
        <v>111</v>
      </c>
      <c r="C108" s="22">
        <v>2995.38</v>
      </c>
      <c r="D108" s="22">
        <v>2826.21</v>
      </c>
      <c r="E108" s="22">
        <v>2403.2199999999998</v>
      </c>
      <c r="F108" s="22">
        <v>3412.64</v>
      </c>
      <c r="G108" s="22">
        <v>3684.59</v>
      </c>
      <c r="H108" s="22">
        <v>4107</v>
      </c>
      <c r="I108" s="22">
        <v>4022.19</v>
      </c>
      <c r="J108" s="22">
        <v>4275.63</v>
      </c>
      <c r="K108" s="22">
        <v>4190.84</v>
      </c>
      <c r="L108" s="22">
        <v>4152.2299999999996</v>
      </c>
      <c r="M108" s="22">
        <v>4019.53</v>
      </c>
      <c r="N108" s="22">
        <v>4028.37</v>
      </c>
      <c r="O108" s="22">
        <v>44117.83</v>
      </c>
    </row>
    <row r="109" spans="1:15" x14ac:dyDescent="0.4">
      <c r="A109" s="21"/>
      <c r="B109" t="s">
        <v>112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</row>
    <row r="110" spans="1:15" x14ac:dyDescent="0.4">
      <c r="A110" s="21" t="s">
        <v>43</v>
      </c>
      <c r="B110" t="s">
        <v>113</v>
      </c>
      <c r="C110" s="22">
        <v>7867.13</v>
      </c>
      <c r="D110" s="22">
        <v>7867.13</v>
      </c>
      <c r="E110" s="22">
        <v>7867.13</v>
      </c>
      <c r="F110" s="22">
        <v>7867.13</v>
      </c>
      <c r="G110" s="22">
        <v>7867.13</v>
      </c>
      <c r="H110" s="22">
        <v>7867.13</v>
      </c>
      <c r="I110" s="22">
        <v>21857.1</v>
      </c>
      <c r="J110" s="22">
        <v>9033</v>
      </c>
      <c r="K110" s="22">
        <v>9033</v>
      </c>
      <c r="L110" s="22">
        <v>9033</v>
      </c>
      <c r="M110" s="22">
        <v>9033</v>
      </c>
      <c r="N110" s="22">
        <v>9033</v>
      </c>
      <c r="O110" s="22">
        <v>114224.88</v>
      </c>
    </row>
    <row r="111" spans="1:15" x14ac:dyDescent="0.4">
      <c r="A111" s="21"/>
      <c r="B111" t="s">
        <v>114</v>
      </c>
      <c r="C111" s="22">
        <v>7867.13</v>
      </c>
      <c r="D111" s="22">
        <v>7867.13</v>
      </c>
      <c r="E111" s="22">
        <v>7867.13</v>
      </c>
      <c r="F111" s="22">
        <v>7867.13</v>
      </c>
      <c r="G111" s="22">
        <v>7867.13</v>
      </c>
      <c r="H111" s="22">
        <v>7867.13</v>
      </c>
      <c r="I111" s="22">
        <v>21857.1</v>
      </c>
      <c r="J111" s="22">
        <v>9033</v>
      </c>
      <c r="K111" s="22">
        <v>9033</v>
      </c>
      <c r="L111" s="22">
        <v>9033</v>
      </c>
      <c r="M111" s="22">
        <v>9033</v>
      </c>
      <c r="N111" s="22">
        <v>9033</v>
      </c>
      <c r="O111" s="22">
        <v>114224.88</v>
      </c>
    </row>
    <row r="112" spans="1:15" x14ac:dyDescent="0.4">
      <c r="A112" s="21"/>
      <c r="B112" t="s">
        <v>42</v>
      </c>
    </row>
    <row r="113" spans="1:15" x14ac:dyDescent="0.4">
      <c r="A113" s="21" t="s">
        <v>41</v>
      </c>
      <c r="B113" t="s">
        <v>207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3346.78</v>
      </c>
      <c r="K113" s="22">
        <v>3346.78</v>
      </c>
      <c r="L113" s="22">
        <v>3346.78</v>
      </c>
      <c r="M113" s="22">
        <v>3346.78</v>
      </c>
      <c r="N113" s="22">
        <v>3346.78</v>
      </c>
      <c r="O113" s="22">
        <v>16733.900000000001</v>
      </c>
    </row>
    <row r="114" spans="1:15" x14ac:dyDescent="0.4">
      <c r="A114" s="21"/>
      <c r="B114" t="s">
        <v>208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3346.78</v>
      </c>
      <c r="K114" s="22">
        <v>3346.78</v>
      </c>
      <c r="L114" s="22">
        <v>3346.78</v>
      </c>
      <c r="M114" s="22">
        <v>3346.78</v>
      </c>
      <c r="N114" s="22">
        <v>3346.78</v>
      </c>
      <c r="O114" s="22">
        <v>16733.900000000001</v>
      </c>
    </row>
    <row r="115" spans="1:15" x14ac:dyDescent="0.4">
      <c r="A115" s="21"/>
      <c r="B115" t="s">
        <v>115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</row>
    <row r="116" spans="1:15" x14ac:dyDescent="0.4">
      <c r="A116" s="21" t="s">
        <v>45</v>
      </c>
      <c r="B116" t="s">
        <v>116</v>
      </c>
      <c r="C116" s="22">
        <v>28395.29</v>
      </c>
      <c r="D116" s="22">
        <v>40113.74</v>
      </c>
      <c r="E116" s="22">
        <v>33884.980000000003</v>
      </c>
      <c r="F116" s="22">
        <v>44985.02</v>
      </c>
      <c r="G116" s="22">
        <v>45515.57</v>
      </c>
      <c r="H116" s="22">
        <v>42881.02</v>
      </c>
      <c r="I116" s="22">
        <v>47566.48</v>
      </c>
      <c r="J116" s="22">
        <v>36949.24</v>
      </c>
      <c r="K116" s="22">
        <v>36669.870000000003</v>
      </c>
      <c r="L116" s="22">
        <v>44844.480000000003</v>
      </c>
      <c r="M116" s="22">
        <v>42761.07</v>
      </c>
      <c r="N116" s="22">
        <v>38450.379999999997</v>
      </c>
      <c r="O116" s="22">
        <v>483017.14</v>
      </c>
    </row>
    <row r="117" spans="1:15" x14ac:dyDescent="0.4">
      <c r="A117" s="21" t="s">
        <v>47</v>
      </c>
      <c r="B117" t="s">
        <v>117</v>
      </c>
      <c r="C117" s="22">
        <v>46489.18</v>
      </c>
      <c r="D117" s="22">
        <v>30541.51</v>
      </c>
      <c r="E117" s="22">
        <v>26195.63</v>
      </c>
      <c r="F117" s="22">
        <v>40330.92</v>
      </c>
      <c r="G117" s="22">
        <v>46599.27</v>
      </c>
      <c r="H117" s="22">
        <v>59794</v>
      </c>
      <c r="I117" s="22">
        <v>53488.29</v>
      </c>
      <c r="J117" s="22">
        <v>69941.48</v>
      </c>
      <c r="K117" s="22">
        <v>68101.22</v>
      </c>
      <c r="L117" s="22">
        <v>58961.29</v>
      </c>
      <c r="M117" s="22">
        <v>60727.03</v>
      </c>
      <c r="N117" s="22">
        <v>64258.86</v>
      </c>
      <c r="O117" s="22">
        <v>625428.68000000005</v>
      </c>
    </row>
    <row r="118" spans="1:15" x14ac:dyDescent="0.4">
      <c r="A118" s="21"/>
      <c r="B118" t="s">
        <v>42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</row>
    <row r="119" spans="1:15" x14ac:dyDescent="0.4">
      <c r="A119" s="21"/>
      <c r="B119" t="s">
        <v>207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3346.78</v>
      </c>
      <c r="L119" s="22">
        <v>3346.78</v>
      </c>
      <c r="M119">
        <v>3346.78</v>
      </c>
      <c r="N119">
        <v>3346.78</v>
      </c>
      <c r="O119" s="22">
        <v>13387.12</v>
      </c>
    </row>
    <row r="120" spans="1:15" x14ac:dyDescent="0.4">
      <c r="A120" s="21"/>
      <c r="B120" t="s">
        <v>208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3346.78</v>
      </c>
      <c r="L120" s="22">
        <v>3346.78</v>
      </c>
      <c r="M120" s="22">
        <v>3346.78</v>
      </c>
      <c r="N120" s="22">
        <v>3346.78</v>
      </c>
      <c r="O120" s="22">
        <v>13387.12</v>
      </c>
    </row>
    <row r="121" spans="1:15" x14ac:dyDescent="0.4">
      <c r="A121" s="21"/>
      <c r="B121" t="s">
        <v>115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</row>
    <row r="122" spans="1:15" x14ac:dyDescent="0.4">
      <c r="A122" s="21"/>
      <c r="B122" t="s">
        <v>116</v>
      </c>
      <c r="C122" s="22">
        <v>31575.21</v>
      </c>
      <c r="D122" s="22">
        <v>28395.29</v>
      </c>
      <c r="E122" s="22">
        <v>40113.74</v>
      </c>
      <c r="F122" s="22">
        <v>33884.980000000003</v>
      </c>
      <c r="G122" s="22">
        <v>44985.02</v>
      </c>
      <c r="H122" s="22">
        <v>45515.57</v>
      </c>
      <c r="I122" s="22">
        <v>42881.02</v>
      </c>
      <c r="J122" s="22">
        <v>47566.48</v>
      </c>
      <c r="K122" s="22">
        <v>36949.24</v>
      </c>
      <c r="L122" s="22">
        <v>36669.870000000003</v>
      </c>
      <c r="M122" s="22">
        <v>44844.480000000003</v>
      </c>
      <c r="N122" s="22">
        <v>42761.07</v>
      </c>
      <c r="O122" s="22">
        <v>476141.97</v>
      </c>
    </row>
    <row r="123" spans="1:15" x14ac:dyDescent="0.4">
      <c r="A123" s="21"/>
      <c r="B123" t="s">
        <v>117</v>
      </c>
      <c r="C123" s="22">
        <v>41194.959999999999</v>
      </c>
      <c r="D123" s="22">
        <v>46489.18</v>
      </c>
      <c r="E123" s="22">
        <v>30541.51</v>
      </c>
      <c r="F123" s="22">
        <v>26195.63</v>
      </c>
      <c r="G123" s="22">
        <v>40330.92</v>
      </c>
      <c r="H123" s="22">
        <v>46599.27</v>
      </c>
      <c r="I123" s="22">
        <v>59794</v>
      </c>
      <c r="J123" s="22">
        <v>53488.29</v>
      </c>
      <c r="K123" s="22">
        <v>69941.48</v>
      </c>
      <c r="L123" s="22">
        <v>68101.22</v>
      </c>
      <c r="M123" s="22">
        <v>58961.29</v>
      </c>
      <c r="N123" s="22">
        <v>60727.03</v>
      </c>
      <c r="O123" s="22">
        <v>602364.78</v>
      </c>
    </row>
    <row r="124" spans="1:15" x14ac:dyDescent="0.4">
      <c r="A124" s="21"/>
    </row>
    <row r="125" spans="1:15" x14ac:dyDescent="0.4">
      <c r="A125" s="21"/>
    </row>
    <row r="126" spans="1:15" x14ac:dyDescent="0.4">
      <c r="A126" s="21"/>
    </row>
    <row r="127" spans="1:15" x14ac:dyDescent="0.4">
      <c r="A127" s="21"/>
    </row>
    <row r="128" spans="1:15" x14ac:dyDescent="0.4">
      <c r="A128" s="21"/>
    </row>
    <row r="129" spans="1:1" x14ac:dyDescent="0.4">
      <c r="A129" s="21"/>
    </row>
    <row r="130" spans="1:1" x14ac:dyDescent="0.4">
      <c r="A130" s="21"/>
    </row>
    <row r="131" spans="1:1" x14ac:dyDescent="0.4">
      <c r="A131" s="21"/>
    </row>
    <row r="132" spans="1:1" x14ac:dyDescent="0.4">
      <c r="A132" s="21"/>
    </row>
    <row r="133" spans="1:1" x14ac:dyDescent="0.4">
      <c r="A133" s="21"/>
    </row>
    <row r="134" spans="1:1" x14ac:dyDescent="0.4">
      <c r="A134" s="21"/>
    </row>
    <row r="135" spans="1:1" x14ac:dyDescent="0.4">
      <c r="A135" s="21"/>
    </row>
    <row r="136" spans="1:1" x14ac:dyDescent="0.4">
      <c r="A136" s="21"/>
    </row>
    <row r="137" spans="1:1" x14ac:dyDescent="0.4">
      <c r="A137" s="21"/>
    </row>
    <row r="138" spans="1:1" x14ac:dyDescent="0.4">
      <c r="A138" s="21"/>
    </row>
    <row r="139" spans="1:1" x14ac:dyDescent="0.4">
      <c r="A139" s="21"/>
    </row>
    <row r="140" spans="1:1" x14ac:dyDescent="0.4">
      <c r="A140" s="21"/>
    </row>
    <row r="141" spans="1:1" x14ac:dyDescent="0.4">
      <c r="A141" s="21"/>
    </row>
    <row r="142" spans="1:1" x14ac:dyDescent="0.4">
      <c r="A142" s="21"/>
    </row>
    <row r="143" spans="1:1" x14ac:dyDescent="0.4">
      <c r="A143" s="21"/>
    </row>
    <row r="144" spans="1:1" x14ac:dyDescent="0.4">
      <c r="A144" s="21"/>
    </row>
    <row r="145" spans="1:1" x14ac:dyDescent="0.4">
      <c r="A145" s="21"/>
    </row>
    <row r="146" spans="1:1" x14ac:dyDescent="0.4">
      <c r="A146" s="21"/>
    </row>
    <row r="147" spans="1:1" x14ac:dyDescent="0.4">
      <c r="A147" s="21"/>
    </row>
    <row r="148" spans="1:1" x14ac:dyDescent="0.4">
      <c r="A148" s="21"/>
    </row>
    <row r="149" spans="1:1" x14ac:dyDescent="0.4">
      <c r="A149" s="21"/>
    </row>
    <row r="150" spans="1:1" x14ac:dyDescent="0.4">
      <c r="A150" s="21"/>
    </row>
    <row r="151" spans="1:1" x14ac:dyDescent="0.4">
      <c r="A151" s="21"/>
    </row>
    <row r="152" spans="1:1" x14ac:dyDescent="0.4">
      <c r="A152" s="21"/>
    </row>
    <row r="153" spans="1:1" x14ac:dyDescent="0.4">
      <c r="A153" s="21"/>
    </row>
    <row r="154" spans="1:1" x14ac:dyDescent="0.4">
      <c r="A154" s="21"/>
    </row>
    <row r="155" spans="1:1" x14ac:dyDescent="0.4">
      <c r="A155" s="21"/>
    </row>
    <row r="156" spans="1:1" x14ac:dyDescent="0.4">
      <c r="A156" s="21"/>
    </row>
    <row r="157" spans="1:1" x14ac:dyDescent="0.4">
      <c r="A157" s="21"/>
    </row>
    <row r="158" spans="1:1" x14ac:dyDescent="0.4">
      <c r="A158" s="21"/>
    </row>
    <row r="159" spans="1:1" x14ac:dyDescent="0.4">
      <c r="A159" s="21"/>
    </row>
    <row r="160" spans="1:1" x14ac:dyDescent="0.4">
      <c r="A160" s="21"/>
    </row>
    <row r="161" spans="1:1" x14ac:dyDescent="0.4">
      <c r="A161" s="21"/>
    </row>
    <row r="162" spans="1:1" x14ac:dyDescent="0.4">
      <c r="A162" s="21"/>
    </row>
    <row r="163" spans="1:1" x14ac:dyDescent="0.4">
      <c r="A163" s="21"/>
    </row>
    <row r="164" spans="1:1" x14ac:dyDescent="0.4">
      <c r="A164" s="21"/>
    </row>
    <row r="165" spans="1:1" x14ac:dyDescent="0.4">
      <c r="A165" s="21"/>
    </row>
    <row r="166" spans="1:1" x14ac:dyDescent="0.4">
      <c r="A166" s="21"/>
    </row>
    <row r="167" spans="1:1" x14ac:dyDescent="0.4">
      <c r="A167" s="21"/>
    </row>
    <row r="168" spans="1:1" x14ac:dyDescent="0.4">
      <c r="A168" s="21"/>
    </row>
    <row r="169" spans="1:1" x14ac:dyDescent="0.4">
      <c r="A169" s="21"/>
    </row>
    <row r="170" spans="1:1" x14ac:dyDescent="0.4">
      <c r="A170" s="21"/>
    </row>
    <row r="171" spans="1:1" x14ac:dyDescent="0.4">
      <c r="A171" s="21"/>
    </row>
    <row r="172" spans="1:1" x14ac:dyDescent="0.4">
      <c r="A172" s="21"/>
    </row>
    <row r="173" spans="1:1" x14ac:dyDescent="0.4">
      <c r="A173" s="21"/>
    </row>
    <row r="174" spans="1:1" x14ac:dyDescent="0.4">
      <c r="A174" s="21"/>
    </row>
    <row r="175" spans="1:1" x14ac:dyDescent="0.4">
      <c r="A175" s="21"/>
    </row>
    <row r="176" spans="1:1" x14ac:dyDescent="0.4">
      <c r="A176" s="21"/>
    </row>
    <row r="177" spans="1:1" x14ac:dyDescent="0.4">
      <c r="A177" s="21"/>
    </row>
    <row r="178" spans="1:1" x14ac:dyDescent="0.4">
      <c r="A178" s="21"/>
    </row>
    <row r="179" spans="1:1" x14ac:dyDescent="0.4">
      <c r="A179" s="21"/>
    </row>
    <row r="180" spans="1:1" x14ac:dyDescent="0.4">
      <c r="A180" s="21"/>
    </row>
    <row r="181" spans="1:1" x14ac:dyDescent="0.4">
      <c r="A181" s="21"/>
    </row>
    <row r="182" spans="1:1" x14ac:dyDescent="0.4">
      <c r="A182" s="21"/>
    </row>
    <row r="183" spans="1:1" x14ac:dyDescent="0.4">
      <c r="A183" s="21"/>
    </row>
    <row r="184" spans="1:1" x14ac:dyDescent="0.4">
      <c r="A184" s="21"/>
    </row>
    <row r="185" spans="1:1" x14ac:dyDescent="0.4">
      <c r="A185" s="21"/>
    </row>
    <row r="186" spans="1:1" x14ac:dyDescent="0.4">
      <c r="A186" s="21"/>
    </row>
    <row r="187" spans="1:1" x14ac:dyDescent="0.4">
      <c r="A187" s="21"/>
    </row>
    <row r="188" spans="1:1" x14ac:dyDescent="0.4">
      <c r="A188" s="21"/>
    </row>
    <row r="189" spans="1:1" x14ac:dyDescent="0.4">
      <c r="A189" s="21"/>
    </row>
    <row r="190" spans="1:1" x14ac:dyDescent="0.4">
      <c r="A190" s="21"/>
    </row>
    <row r="191" spans="1:1" x14ac:dyDescent="0.4">
      <c r="A191" s="21"/>
    </row>
    <row r="192" spans="1:1" x14ac:dyDescent="0.4">
      <c r="A192" s="21"/>
    </row>
    <row r="193" spans="1:1" x14ac:dyDescent="0.4">
      <c r="A193" s="21"/>
    </row>
    <row r="194" spans="1:1" x14ac:dyDescent="0.4">
      <c r="A194" s="21"/>
    </row>
    <row r="195" spans="1:1" x14ac:dyDescent="0.4">
      <c r="A195" s="21"/>
    </row>
    <row r="196" spans="1:1" x14ac:dyDescent="0.4">
      <c r="A196" s="21"/>
    </row>
    <row r="197" spans="1:1" x14ac:dyDescent="0.4">
      <c r="A197" s="21"/>
    </row>
    <row r="198" spans="1:1" x14ac:dyDescent="0.4">
      <c r="A198" s="21"/>
    </row>
    <row r="199" spans="1:1" x14ac:dyDescent="0.4">
      <c r="A199" s="21"/>
    </row>
    <row r="200" spans="1:1" x14ac:dyDescent="0.4">
      <c r="A200" s="21"/>
    </row>
    <row r="201" spans="1:1" x14ac:dyDescent="0.4">
      <c r="A201" s="21"/>
    </row>
    <row r="202" spans="1:1" x14ac:dyDescent="0.4">
      <c r="A202" s="21"/>
    </row>
    <row r="203" spans="1:1" x14ac:dyDescent="0.4">
      <c r="A203" s="21"/>
    </row>
    <row r="204" spans="1:1" x14ac:dyDescent="0.4">
      <c r="A204" s="21"/>
    </row>
    <row r="205" spans="1:1" x14ac:dyDescent="0.4">
      <c r="A205" s="21"/>
    </row>
    <row r="206" spans="1:1" x14ac:dyDescent="0.4">
      <c r="A206" s="21"/>
    </row>
    <row r="207" spans="1:1" x14ac:dyDescent="0.4">
      <c r="A207" s="21"/>
    </row>
    <row r="208" spans="1:1" x14ac:dyDescent="0.4">
      <c r="A208" s="21"/>
    </row>
    <row r="209" spans="1:1" x14ac:dyDescent="0.4">
      <c r="A209" s="21"/>
    </row>
    <row r="210" spans="1:1" x14ac:dyDescent="0.4">
      <c r="A210" s="21"/>
    </row>
    <row r="211" spans="1:1" x14ac:dyDescent="0.4">
      <c r="A211" s="21"/>
    </row>
    <row r="212" spans="1:1" x14ac:dyDescent="0.4">
      <c r="A212" s="21"/>
    </row>
    <row r="213" spans="1:1" x14ac:dyDescent="0.4">
      <c r="A213" s="21"/>
    </row>
    <row r="214" spans="1:1" x14ac:dyDescent="0.4">
      <c r="A214" s="21"/>
    </row>
    <row r="215" spans="1:1" x14ac:dyDescent="0.4">
      <c r="A215" s="21"/>
    </row>
    <row r="216" spans="1:1" x14ac:dyDescent="0.4">
      <c r="A216" s="21"/>
    </row>
    <row r="217" spans="1:1" x14ac:dyDescent="0.4">
      <c r="A217" s="21"/>
    </row>
    <row r="218" spans="1:1" x14ac:dyDescent="0.4">
      <c r="A218" s="21"/>
    </row>
    <row r="219" spans="1:1" x14ac:dyDescent="0.4">
      <c r="A219" s="21"/>
    </row>
    <row r="220" spans="1:1" x14ac:dyDescent="0.4">
      <c r="A220" s="21"/>
    </row>
    <row r="221" spans="1:1" x14ac:dyDescent="0.4">
      <c r="A221" s="21"/>
    </row>
    <row r="222" spans="1:1" x14ac:dyDescent="0.4">
      <c r="A222" s="21"/>
    </row>
    <row r="223" spans="1:1" x14ac:dyDescent="0.4">
      <c r="A223" s="21"/>
    </row>
    <row r="224" spans="1:1" x14ac:dyDescent="0.4">
      <c r="A224" s="21"/>
    </row>
    <row r="225" spans="1:1" x14ac:dyDescent="0.4">
      <c r="A225" s="21"/>
    </row>
    <row r="226" spans="1:1" x14ac:dyDescent="0.4">
      <c r="A226" s="21"/>
    </row>
    <row r="227" spans="1:1" x14ac:dyDescent="0.4">
      <c r="A227" s="21"/>
    </row>
    <row r="228" spans="1:1" x14ac:dyDescent="0.4">
      <c r="A228" s="21"/>
    </row>
    <row r="229" spans="1:1" x14ac:dyDescent="0.4">
      <c r="A229" s="21"/>
    </row>
    <row r="230" spans="1:1" x14ac:dyDescent="0.4">
      <c r="A230" s="21"/>
    </row>
    <row r="231" spans="1:1" x14ac:dyDescent="0.4">
      <c r="A231" s="21"/>
    </row>
    <row r="232" spans="1:1" x14ac:dyDescent="0.4">
      <c r="A232" s="21"/>
    </row>
    <row r="233" spans="1:1" x14ac:dyDescent="0.4">
      <c r="A233" s="21"/>
    </row>
    <row r="234" spans="1:1" x14ac:dyDescent="0.4">
      <c r="A234" s="21"/>
    </row>
    <row r="235" spans="1:1" x14ac:dyDescent="0.4">
      <c r="A235" s="21"/>
    </row>
    <row r="236" spans="1:1" x14ac:dyDescent="0.4">
      <c r="A236" s="21"/>
    </row>
    <row r="237" spans="1:1" x14ac:dyDescent="0.4">
      <c r="A237" s="21"/>
    </row>
    <row r="238" spans="1:1" x14ac:dyDescent="0.4">
      <c r="A238" s="21"/>
    </row>
    <row r="239" spans="1:1" x14ac:dyDescent="0.4">
      <c r="A239" s="21"/>
    </row>
    <row r="240" spans="1:1" x14ac:dyDescent="0.4">
      <c r="A240" s="21"/>
    </row>
    <row r="241" spans="1:1" x14ac:dyDescent="0.4">
      <c r="A241" s="21"/>
    </row>
    <row r="242" spans="1:1" x14ac:dyDescent="0.4">
      <c r="A242" s="21"/>
    </row>
    <row r="243" spans="1:1" x14ac:dyDescent="0.4">
      <c r="A243" s="21"/>
    </row>
    <row r="244" spans="1:1" x14ac:dyDescent="0.4">
      <c r="A244" s="21"/>
    </row>
    <row r="245" spans="1:1" x14ac:dyDescent="0.4">
      <c r="A245" s="21"/>
    </row>
    <row r="246" spans="1:1" x14ac:dyDescent="0.4">
      <c r="A246" s="21"/>
    </row>
    <row r="247" spans="1:1" x14ac:dyDescent="0.4">
      <c r="A247" s="21"/>
    </row>
    <row r="248" spans="1:1" x14ac:dyDescent="0.4">
      <c r="A248" s="21"/>
    </row>
    <row r="249" spans="1:1" x14ac:dyDescent="0.4">
      <c r="A249" s="21"/>
    </row>
    <row r="250" spans="1:1" x14ac:dyDescent="0.4">
      <c r="A250" s="21"/>
    </row>
    <row r="251" spans="1:1" x14ac:dyDescent="0.4">
      <c r="A251" s="21"/>
    </row>
    <row r="252" spans="1:1" x14ac:dyDescent="0.4">
      <c r="A252" s="21"/>
    </row>
    <row r="253" spans="1:1" x14ac:dyDescent="0.4">
      <c r="A253" s="21"/>
    </row>
    <row r="254" spans="1:1" x14ac:dyDescent="0.4">
      <c r="A254" s="21"/>
    </row>
    <row r="255" spans="1:1" x14ac:dyDescent="0.4">
      <c r="A255" s="21"/>
    </row>
    <row r="256" spans="1:1" x14ac:dyDescent="0.4">
      <c r="A256" s="21"/>
    </row>
    <row r="257" spans="1:1" x14ac:dyDescent="0.4">
      <c r="A257" s="21"/>
    </row>
    <row r="258" spans="1:1" x14ac:dyDescent="0.4">
      <c r="A258" s="21"/>
    </row>
    <row r="259" spans="1:1" x14ac:dyDescent="0.4">
      <c r="A259" s="21"/>
    </row>
    <row r="260" spans="1:1" x14ac:dyDescent="0.4">
      <c r="A260" s="21"/>
    </row>
    <row r="261" spans="1:1" x14ac:dyDescent="0.4">
      <c r="A261" s="21"/>
    </row>
    <row r="262" spans="1:1" x14ac:dyDescent="0.4">
      <c r="A262" s="21"/>
    </row>
    <row r="263" spans="1:1" x14ac:dyDescent="0.4">
      <c r="A263" s="21"/>
    </row>
    <row r="264" spans="1:1" x14ac:dyDescent="0.4">
      <c r="A264" s="21"/>
    </row>
    <row r="265" spans="1:1" x14ac:dyDescent="0.4">
      <c r="A265" s="21"/>
    </row>
    <row r="266" spans="1:1" x14ac:dyDescent="0.4">
      <c r="A266" s="21"/>
    </row>
    <row r="267" spans="1:1" x14ac:dyDescent="0.4">
      <c r="A267" s="21"/>
    </row>
    <row r="268" spans="1:1" x14ac:dyDescent="0.4">
      <c r="A268" s="21"/>
    </row>
    <row r="269" spans="1:1" x14ac:dyDescent="0.4">
      <c r="A269" s="21"/>
    </row>
    <row r="270" spans="1:1" x14ac:dyDescent="0.4">
      <c r="A270" s="21"/>
    </row>
    <row r="271" spans="1:1" x14ac:dyDescent="0.4">
      <c r="A271" s="21"/>
    </row>
    <row r="272" spans="1:1" x14ac:dyDescent="0.4">
      <c r="A272" s="21"/>
    </row>
    <row r="273" spans="1:1" x14ac:dyDescent="0.4">
      <c r="A273" s="21"/>
    </row>
    <row r="274" spans="1:1" x14ac:dyDescent="0.4">
      <c r="A274" s="21"/>
    </row>
    <row r="275" spans="1:1" x14ac:dyDescent="0.4">
      <c r="A275" s="21"/>
    </row>
    <row r="276" spans="1:1" x14ac:dyDescent="0.4">
      <c r="A276" s="21"/>
    </row>
    <row r="277" spans="1:1" x14ac:dyDescent="0.4">
      <c r="A277" s="21"/>
    </row>
    <row r="278" spans="1:1" x14ac:dyDescent="0.4">
      <c r="A278" s="21"/>
    </row>
    <row r="279" spans="1:1" x14ac:dyDescent="0.4">
      <c r="A279" s="21"/>
    </row>
    <row r="280" spans="1:1" x14ac:dyDescent="0.4">
      <c r="A280" s="21"/>
    </row>
    <row r="281" spans="1:1" x14ac:dyDescent="0.4">
      <c r="A281" s="21"/>
    </row>
    <row r="282" spans="1:1" x14ac:dyDescent="0.4">
      <c r="A282" s="21"/>
    </row>
    <row r="283" spans="1:1" x14ac:dyDescent="0.4">
      <c r="A283" s="21"/>
    </row>
    <row r="284" spans="1:1" x14ac:dyDescent="0.4">
      <c r="A284" s="21"/>
    </row>
    <row r="285" spans="1:1" x14ac:dyDescent="0.4">
      <c r="A285" s="21"/>
    </row>
    <row r="286" spans="1:1" x14ac:dyDescent="0.4">
      <c r="A286" s="21"/>
    </row>
    <row r="287" spans="1:1" x14ac:dyDescent="0.4">
      <c r="A287" s="21"/>
    </row>
    <row r="288" spans="1:1" x14ac:dyDescent="0.4">
      <c r="A288" s="21"/>
    </row>
    <row r="289" spans="1:1" x14ac:dyDescent="0.4">
      <c r="A289" s="21"/>
    </row>
    <row r="290" spans="1:1" x14ac:dyDescent="0.4">
      <c r="A290" s="21"/>
    </row>
    <row r="291" spans="1:1" x14ac:dyDescent="0.4">
      <c r="A291" s="21"/>
    </row>
    <row r="292" spans="1:1" x14ac:dyDescent="0.4">
      <c r="A292" s="21"/>
    </row>
    <row r="293" spans="1:1" x14ac:dyDescent="0.4">
      <c r="A293" s="21"/>
    </row>
    <row r="294" spans="1:1" x14ac:dyDescent="0.4">
      <c r="A294" s="21"/>
    </row>
    <row r="295" spans="1:1" x14ac:dyDescent="0.4">
      <c r="A295" s="21"/>
    </row>
    <row r="296" spans="1:1" x14ac:dyDescent="0.4">
      <c r="A296" s="21"/>
    </row>
    <row r="297" spans="1:1" x14ac:dyDescent="0.4">
      <c r="A297" s="21"/>
    </row>
    <row r="298" spans="1:1" x14ac:dyDescent="0.4">
      <c r="A298" s="21"/>
    </row>
    <row r="299" spans="1:1" x14ac:dyDescent="0.4">
      <c r="A299" s="21"/>
    </row>
    <row r="300" spans="1:1" x14ac:dyDescent="0.4">
      <c r="A300" s="21"/>
    </row>
    <row r="301" spans="1:1" x14ac:dyDescent="0.4">
      <c r="A301" s="21"/>
    </row>
    <row r="302" spans="1:1" x14ac:dyDescent="0.4">
      <c r="A302" s="21"/>
    </row>
    <row r="303" spans="1:1" x14ac:dyDescent="0.4">
      <c r="A303" s="21"/>
    </row>
    <row r="304" spans="1:1" x14ac:dyDescent="0.4">
      <c r="A304" s="21"/>
    </row>
    <row r="305" spans="1:1" x14ac:dyDescent="0.4">
      <c r="A305" s="21"/>
    </row>
    <row r="306" spans="1:1" x14ac:dyDescent="0.4">
      <c r="A306" s="21"/>
    </row>
    <row r="307" spans="1:1" x14ac:dyDescent="0.4">
      <c r="A307" s="21"/>
    </row>
    <row r="308" spans="1:1" x14ac:dyDescent="0.4">
      <c r="A308" s="21"/>
    </row>
    <row r="309" spans="1:1" x14ac:dyDescent="0.4">
      <c r="A309" s="21"/>
    </row>
    <row r="310" spans="1:1" x14ac:dyDescent="0.4">
      <c r="A310" s="21"/>
    </row>
    <row r="311" spans="1:1" x14ac:dyDescent="0.4">
      <c r="A311" s="21"/>
    </row>
    <row r="312" spans="1:1" x14ac:dyDescent="0.4">
      <c r="A312" s="21"/>
    </row>
    <row r="313" spans="1:1" x14ac:dyDescent="0.4">
      <c r="A313" s="21"/>
    </row>
    <row r="314" spans="1:1" x14ac:dyDescent="0.4">
      <c r="A314" s="21"/>
    </row>
    <row r="315" spans="1:1" x14ac:dyDescent="0.4">
      <c r="A315" s="21"/>
    </row>
    <row r="316" spans="1:1" x14ac:dyDescent="0.4">
      <c r="A316" s="21"/>
    </row>
    <row r="317" spans="1:1" x14ac:dyDescent="0.4">
      <c r="A317" s="21"/>
    </row>
    <row r="318" spans="1:1" x14ac:dyDescent="0.4">
      <c r="A318" s="21"/>
    </row>
    <row r="319" spans="1:1" x14ac:dyDescent="0.4">
      <c r="A319" s="21"/>
    </row>
    <row r="320" spans="1:1" x14ac:dyDescent="0.4">
      <c r="A320" s="21"/>
    </row>
    <row r="321" spans="1:1" x14ac:dyDescent="0.4">
      <c r="A321" s="21"/>
    </row>
    <row r="322" spans="1:1" x14ac:dyDescent="0.4">
      <c r="A322" s="21"/>
    </row>
    <row r="323" spans="1:1" x14ac:dyDescent="0.4">
      <c r="A323" s="21"/>
    </row>
    <row r="324" spans="1:1" x14ac:dyDescent="0.4">
      <c r="A324" s="21"/>
    </row>
    <row r="325" spans="1:1" x14ac:dyDescent="0.4">
      <c r="A325" s="21"/>
    </row>
    <row r="326" spans="1:1" x14ac:dyDescent="0.4">
      <c r="A326" s="21"/>
    </row>
    <row r="327" spans="1:1" x14ac:dyDescent="0.4">
      <c r="A327" s="21"/>
    </row>
    <row r="328" spans="1:1" x14ac:dyDescent="0.4">
      <c r="A328" s="21"/>
    </row>
    <row r="329" spans="1:1" x14ac:dyDescent="0.4">
      <c r="A329" s="21"/>
    </row>
    <row r="330" spans="1:1" x14ac:dyDescent="0.4">
      <c r="A330" s="21"/>
    </row>
    <row r="331" spans="1:1" x14ac:dyDescent="0.4">
      <c r="A331" s="21"/>
    </row>
    <row r="332" spans="1:1" x14ac:dyDescent="0.4">
      <c r="A332" s="21"/>
    </row>
    <row r="333" spans="1:1" x14ac:dyDescent="0.4">
      <c r="A333" s="21"/>
    </row>
    <row r="334" spans="1:1" x14ac:dyDescent="0.4">
      <c r="A334" s="21"/>
    </row>
    <row r="335" spans="1:1" x14ac:dyDescent="0.4">
      <c r="A335" s="21"/>
    </row>
    <row r="336" spans="1:1" x14ac:dyDescent="0.4">
      <c r="A336" s="21"/>
    </row>
    <row r="337" spans="1:1" x14ac:dyDescent="0.4">
      <c r="A337" s="21"/>
    </row>
    <row r="338" spans="1:1" x14ac:dyDescent="0.4">
      <c r="A338" s="21"/>
    </row>
    <row r="339" spans="1:1" x14ac:dyDescent="0.4">
      <c r="A339" s="21"/>
    </row>
    <row r="340" spans="1:1" x14ac:dyDescent="0.4">
      <c r="A340" s="21"/>
    </row>
    <row r="341" spans="1:1" x14ac:dyDescent="0.4">
      <c r="A341" s="21"/>
    </row>
    <row r="342" spans="1:1" x14ac:dyDescent="0.4">
      <c r="A342" s="21"/>
    </row>
    <row r="343" spans="1:1" x14ac:dyDescent="0.4">
      <c r="A343" s="21"/>
    </row>
    <row r="344" spans="1:1" x14ac:dyDescent="0.4">
      <c r="A344" s="21"/>
    </row>
    <row r="345" spans="1:1" x14ac:dyDescent="0.4">
      <c r="A345" s="21"/>
    </row>
    <row r="346" spans="1:1" x14ac:dyDescent="0.4">
      <c r="A346" s="21"/>
    </row>
    <row r="347" spans="1:1" x14ac:dyDescent="0.4">
      <c r="A347" s="21"/>
    </row>
    <row r="348" spans="1:1" x14ac:dyDescent="0.4">
      <c r="A348" s="21"/>
    </row>
    <row r="349" spans="1:1" x14ac:dyDescent="0.4">
      <c r="A349" s="21"/>
    </row>
    <row r="350" spans="1:1" x14ac:dyDescent="0.4">
      <c r="A350" s="21"/>
    </row>
    <row r="351" spans="1:1" x14ac:dyDescent="0.4">
      <c r="A351" s="21"/>
    </row>
    <row r="352" spans="1:1" x14ac:dyDescent="0.4">
      <c r="A352" s="21"/>
    </row>
    <row r="353" spans="1:1" x14ac:dyDescent="0.4">
      <c r="A353" s="21"/>
    </row>
    <row r="354" spans="1:1" x14ac:dyDescent="0.4">
      <c r="A354" s="21"/>
    </row>
    <row r="355" spans="1:1" x14ac:dyDescent="0.4">
      <c r="A355" s="21"/>
    </row>
    <row r="356" spans="1:1" x14ac:dyDescent="0.4">
      <c r="A356" s="21"/>
    </row>
    <row r="357" spans="1:1" x14ac:dyDescent="0.4">
      <c r="A357" s="21"/>
    </row>
    <row r="358" spans="1:1" x14ac:dyDescent="0.4">
      <c r="A358" s="21"/>
    </row>
    <row r="359" spans="1:1" x14ac:dyDescent="0.4">
      <c r="A359" s="21"/>
    </row>
    <row r="360" spans="1:1" x14ac:dyDescent="0.4">
      <c r="A360" s="21"/>
    </row>
    <row r="361" spans="1:1" x14ac:dyDescent="0.4">
      <c r="A361" s="21"/>
    </row>
    <row r="362" spans="1:1" x14ac:dyDescent="0.4">
      <c r="A362" s="21"/>
    </row>
    <row r="363" spans="1:1" x14ac:dyDescent="0.4">
      <c r="A363" s="21"/>
    </row>
    <row r="364" spans="1:1" x14ac:dyDescent="0.4">
      <c r="A364" s="21"/>
    </row>
    <row r="365" spans="1:1" x14ac:dyDescent="0.4">
      <c r="A365" s="21"/>
    </row>
    <row r="366" spans="1:1" x14ac:dyDescent="0.4">
      <c r="A366" s="21"/>
    </row>
    <row r="367" spans="1:1" x14ac:dyDescent="0.4">
      <c r="A367" s="21"/>
    </row>
    <row r="368" spans="1:1" x14ac:dyDescent="0.4">
      <c r="A368" s="21"/>
    </row>
    <row r="369" spans="1:1" x14ac:dyDescent="0.4">
      <c r="A369" s="21"/>
    </row>
    <row r="370" spans="1:1" x14ac:dyDescent="0.4">
      <c r="A370" s="21"/>
    </row>
    <row r="371" spans="1:1" x14ac:dyDescent="0.4">
      <c r="A371" s="21"/>
    </row>
    <row r="372" spans="1:1" x14ac:dyDescent="0.4">
      <c r="A372" s="21"/>
    </row>
    <row r="373" spans="1:1" x14ac:dyDescent="0.4">
      <c r="A373" s="21"/>
    </row>
    <row r="374" spans="1:1" x14ac:dyDescent="0.4">
      <c r="A374" s="21"/>
    </row>
    <row r="375" spans="1:1" x14ac:dyDescent="0.4">
      <c r="A375" s="21"/>
    </row>
    <row r="376" spans="1:1" x14ac:dyDescent="0.4">
      <c r="A376" s="21"/>
    </row>
    <row r="377" spans="1:1" x14ac:dyDescent="0.4">
      <c r="A377" s="21"/>
    </row>
    <row r="378" spans="1:1" x14ac:dyDescent="0.4">
      <c r="A378" s="21"/>
    </row>
    <row r="379" spans="1:1" x14ac:dyDescent="0.4">
      <c r="A379" s="21"/>
    </row>
    <row r="380" spans="1:1" x14ac:dyDescent="0.4">
      <c r="A380" s="21"/>
    </row>
    <row r="381" spans="1:1" x14ac:dyDescent="0.4">
      <c r="A381" s="21"/>
    </row>
    <row r="382" spans="1:1" x14ac:dyDescent="0.4">
      <c r="A382" s="21"/>
    </row>
    <row r="383" spans="1:1" x14ac:dyDescent="0.4">
      <c r="A383" s="21"/>
    </row>
    <row r="384" spans="1:1" x14ac:dyDescent="0.4">
      <c r="A384" s="21"/>
    </row>
    <row r="385" spans="1:1" x14ac:dyDescent="0.4">
      <c r="A385" s="21"/>
    </row>
    <row r="386" spans="1:1" x14ac:dyDescent="0.4">
      <c r="A386" s="21"/>
    </row>
    <row r="387" spans="1:1" x14ac:dyDescent="0.4">
      <c r="A387" s="21"/>
    </row>
    <row r="388" spans="1:1" x14ac:dyDescent="0.4">
      <c r="A388" s="21"/>
    </row>
    <row r="389" spans="1:1" x14ac:dyDescent="0.4">
      <c r="A389" s="21"/>
    </row>
    <row r="390" spans="1:1" x14ac:dyDescent="0.4">
      <c r="A390" s="21"/>
    </row>
    <row r="391" spans="1:1" x14ac:dyDescent="0.4">
      <c r="A391" s="21"/>
    </row>
    <row r="392" spans="1:1" x14ac:dyDescent="0.4">
      <c r="A392" s="21"/>
    </row>
    <row r="393" spans="1:1" x14ac:dyDescent="0.4">
      <c r="A393" s="21"/>
    </row>
    <row r="394" spans="1:1" x14ac:dyDescent="0.4">
      <c r="A394" s="21"/>
    </row>
    <row r="395" spans="1:1" x14ac:dyDescent="0.4">
      <c r="A395" s="21"/>
    </row>
    <row r="396" spans="1:1" x14ac:dyDescent="0.4">
      <c r="A396" s="21"/>
    </row>
    <row r="397" spans="1:1" x14ac:dyDescent="0.4">
      <c r="A397" s="21"/>
    </row>
    <row r="398" spans="1:1" x14ac:dyDescent="0.4">
      <c r="A398" s="21"/>
    </row>
    <row r="399" spans="1:1" x14ac:dyDescent="0.4">
      <c r="A399" s="21"/>
    </row>
    <row r="400" spans="1:1" x14ac:dyDescent="0.4">
      <c r="A400" s="21"/>
    </row>
    <row r="401" spans="1:1" x14ac:dyDescent="0.4">
      <c r="A401" s="21"/>
    </row>
    <row r="402" spans="1:1" x14ac:dyDescent="0.4">
      <c r="A402" s="21"/>
    </row>
    <row r="403" spans="1:1" x14ac:dyDescent="0.4">
      <c r="A403" s="21"/>
    </row>
    <row r="404" spans="1:1" x14ac:dyDescent="0.4">
      <c r="A404" s="21"/>
    </row>
    <row r="405" spans="1:1" x14ac:dyDescent="0.4">
      <c r="A405" s="21"/>
    </row>
    <row r="406" spans="1:1" x14ac:dyDescent="0.4">
      <c r="A406" s="21"/>
    </row>
    <row r="407" spans="1:1" x14ac:dyDescent="0.4">
      <c r="A407" s="21"/>
    </row>
    <row r="408" spans="1:1" x14ac:dyDescent="0.4">
      <c r="A408" s="21"/>
    </row>
    <row r="409" spans="1:1" x14ac:dyDescent="0.4">
      <c r="A409" s="21"/>
    </row>
    <row r="410" spans="1:1" x14ac:dyDescent="0.4">
      <c r="A410" s="21"/>
    </row>
    <row r="411" spans="1:1" x14ac:dyDescent="0.4">
      <c r="A411" s="21"/>
    </row>
    <row r="412" spans="1:1" x14ac:dyDescent="0.4">
      <c r="A412" s="21"/>
    </row>
    <row r="413" spans="1:1" x14ac:dyDescent="0.4">
      <c r="A413" s="21"/>
    </row>
    <row r="414" spans="1:1" x14ac:dyDescent="0.4">
      <c r="A414" s="21"/>
    </row>
    <row r="415" spans="1:1" x14ac:dyDescent="0.4">
      <c r="A415" s="21"/>
    </row>
    <row r="416" spans="1:1" x14ac:dyDescent="0.4">
      <c r="A416" s="21"/>
    </row>
    <row r="417" spans="1:1" x14ac:dyDescent="0.4">
      <c r="A417" s="21"/>
    </row>
    <row r="418" spans="1:1" x14ac:dyDescent="0.4">
      <c r="A418" s="21"/>
    </row>
    <row r="419" spans="1:1" x14ac:dyDescent="0.4">
      <c r="A419" s="21"/>
    </row>
    <row r="420" spans="1:1" x14ac:dyDescent="0.4">
      <c r="A420" s="21"/>
    </row>
    <row r="421" spans="1:1" x14ac:dyDescent="0.4">
      <c r="A421" s="21"/>
    </row>
    <row r="422" spans="1:1" x14ac:dyDescent="0.4">
      <c r="A422" s="21"/>
    </row>
    <row r="423" spans="1:1" x14ac:dyDescent="0.4">
      <c r="A423" s="21"/>
    </row>
    <row r="424" spans="1:1" x14ac:dyDescent="0.4">
      <c r="A424" s="21"/>
    </row>
    <row r="425" spans="1:1" x14ac:dyDescent="0.4">
      <c r="A425" s="21"/>
    </row>
    <row r="426" spans="1:1" x14ac:dyDescent="0.4">
      <c r="A426" s="21"/>
    </row>
    <row r="427" spans="1:1" x14ac:dyDescent="0.4">
      <c r="A427" s="21"/>
    </row>
    <row r="428" spans="1:1" x14ac:dyDescent="0.4">
      <c r="A428" s="21"/>
    </row>
    <row r="429" spans="1:1" x14ac:dyDescent="0.4">
      <c r="A429" s="21"/>
    </row>
    <row r="430" spans="1:1" x14ac:dyDescent="0.4">
      <c r="A430" s="21"/>
    </row>
    <row r="431" spans="1:1" x14ac:dyDescent="0.4">
      <c r="A431" s="21"/>
    </row>
    <row r="432" spans="1:1" x14ac:dyDescent="0.4">
      <c r="A432" s="21"/>
    </row>
    <row r="433" spans="1:1" x14ac:dyDescent="0.4">
      <c r="A433" s="21"/>
    </row>
    <row r="434" spans="1:1" x14ac:dyDescent="0.4">
      <c r="A434" s="21"/>
    </row>
    <row r="435" spans="1:1" x14ac:dyDescent="0.4">
      <c r="A435" s="21"/>
    </row>
    <row r="436" spans="1:1" x14ac:dyDescent="0.4">
      <c r="A436" s="21"/>
    </row>
    <row r="437" spans="1:1" x14ac:dyDescent="0.4">
      <c r="A437" s="21"/>
    </row>
    <row r="438" spans="1:1" x14ac:dyDescent="0.4">
      <c r="A438" s="21"/>
    </row>
    <row r="439" spans="1:1" x14ac:dyDescent="0.4">
      <c r="A439" s="21"/>
    </row>
    <row r="440" spans="1:1" x14ac:dyDescent="0.4">
      <c r="A440" s="21"/>
    </row>
    <row r="441" spans="1:1" x14ac:dyDescent="0.4">
      <c r="A441" s="21"/>
    </row>
    <row r="442" spans="1:1" x14ac:dyDescent="0.4">
      <c r="A442" s="21"/>
    </row>
    <row r="443" spans="1:1" x14ac:dyDescent="0.4">
      <c r="A443" s="21"/>
    </row>
    <row r="444" spans="1:1" x14ac:dyDescent="0.4">
      <c r="A444" s="21"/>
    </row>
    <row r="445" spans="1:1" x14ac:dyDescent="0.4">
      <c r="A445" s="21"/>
    </row>
    <row r="446" spans="1:1" x14ac:dyDescent="0.4">
      <c r="A446" s="21"/>
    </row>
    <row r="447" spans="1:1" x14ac:dyDescent="0.4">
      <c r="A447" s="21"/>
    </row>
    <row r="448" spans="1:1" x14ac:dyDescent="0.4">
      <c r="A448" s="21"/>
    </row>
    <row r="449" spans="1:1" x14ac:dyDescent="0.4">
      <c r="A449" s="21"/>
    </row>
    <row r="450" spans="1:1" x14ac:dyDescent="0.4">
      <c r="A450" s="21"/>
    </row>
    <row r="451" spans="1:1" x14ac:dyDescent="0.4">
      <c r="A451" s="21"/>
    </row>
    <row r="452" spans="1:1" x14ac:dyDescent="0.4">
      <c r="A452" s="21"/>
    </row>
    <row r="453" spans="1:1" x14ac:dyDescent="0.4">
      <c r="A453" s="21"/>
    </row>
    <row r="454" spans="1:1" x14ac:dyDescent="0.4">
      <c r="A454" s="21"/>
    </row>
    <row r="455" spans="1:1" x14ac:dyDescent="0.4">
      <c r="A455" s="21"/>
    </row>
    <row r="456" spans="1:1" x14ac:dyDescent="0.4">
      <c r="A456" s="21"/>
    </row>
    <row r="457" spans="1:1" x14ac:dyDescent="0.4">
      <c r="A457" s="21"/>
    </row>
    <row r="458" spans="1:1" x14ac:dyDescent="0.4">
      <c r="A458" s="21"/>
    </row>
    <row r="459" spans="1:1" x14ac:dyDescent="0.4">
      <c r="A459" s="21"/>
    </row>
    <row r="460" spans="1:1" x14ac:dyDescent="0.4">
      <c r="A460" s="21"/>
    </row>
    <row r="461" spans="1:1" x14ac:dyDescent="0.4">
      <c r="A461" s="21"/>
    </row>
    <row r="462" spans="1:1" x14ac:dyDescent="0.4">
      <c r="A462" s="21"/>
    </row>
    <row r="463" spans="1:1" x14ac:dyDescent="0.4">
      <c r="A463" s="21"/>
    </row>
    <row r="464" spans="1:1" x14ac:dyDescent="0.4">
      <c r="A464" s="21"/>
    </row>
    <row r="465" spans="1:1" x14ac:dyDescent="0.4">
      <c r="A465" s="21"/>
    </row>
    <row r="466" spans="1:1" x14ac:dyDescent="0.4">
      <c r="A466" s="21"/>
    </row>
    <row r="467" spans="1:1" x14ac:dyDescent="0.4">
      <c r="A467" s="21"/>
    </row>
    <row r="468" spans="1:1" x14ac:dyDescent="0.4">
      <c r="A468" s="21"/>
    </row>
    <row r="469" spans="1:1" x14ac:dyDescent="0.4">
      <c r="A469" s="21"/>
    </row>
    <row r="470" spans="1:1" x14ac:dyDescent="0.4">
      <c r="A470" s="21"/>
    </row>
    <row r="471" spans="1:1" x14ac:dyDescent="0.4">
      <c r="A471" s="21"/>
    </row>
    <row r="472" spans="1:1" x14ac:dyDescent="0.4">
      <c r="A472" s="21"/>
    </row>
    <row r="473" spans="1:1" x14ac:dyDescent="0.4">
      <c r="A473" s="21"/>
    </row>
    <row r="474" spans="1:1" x14ac:dyDescent="0.4">
      <c r="A474" s="21"/>
    </row>
    <row r="475" spans="1:1" x14ac:dyDescent="0.4">
      <c r="A475" s="21"/>
    </row>
    <row r="476" spans="1:1" x14ac:dyDescent="0.4">
      <c r="A476" s="21"/>
    </row>
    <row r="477" spans="1:1" x14ac:dyDescent="0.4">
      <c r="A477" s="21"/>
    </row>
    <row r="478" spans="1:1" x14ac:dyDescent="0.4">
      <c r="A478" s="21"/>
    </row>
    <row r="479" spans="1:1" x14ac:dyDescent="0.4">
      <c r="A479" s="21"/>
    </row>
    <row r="480" spans="1:1" x14ac:dyDescent="0.4">
      <c r="A480" s="21"/>
    </row>
    <row r="481" spans="1:1" x14ac:dyDescent="0.4">
      <c r="A481" s="21"/>
    </row>
    <row r="482" spans="1:1" x14ac:dyDescent="0.4">
      <c r="A482" s="21"/>
    </row>
    <row r="483" spans="1:1" x14ac:dyDescent="0.4">
      <c r="A483" s="21"/>
    </row>
    <row r="484" spans="1:1" x14ac:dyDescent="0.4">
      <c r="A484" s="21"/>
    </row>
    <row r="485" spans="1:1" x14ac:dyDescent="0.4">
      <c r="A485" s="21"/>
    </row>
    <row r="486" spans="1:1" x14ac:dyDescent="0.4">
      <c r="A486" s="21"/>
    </row>
    <row r="487" spans="1:1" x14ac:dyDescent="0.4">
      <c r="A487" s="21"/>
    </row>
    <row r="488" spans="1:1" x14ac:dyDescent="0.4">
      <c r="A488" s="21"/>
    </row>
    <row r="489" spans="1:1" x14ac:dyDescent="0.4">
      <c r="A489" s="21"/>
    </row>
    <row r="490" spans="1:1" x14ac:dyDescent="0.4">
      <c r="A490" s="21"/>
    </row>
    <row r="491" spans="1:1" x14ac:dyDescent="0.4">
      <c r="A491" s="21"/>
    </row>
    <row r="492" spans="1:1" x14ac:dyDescent="0.4">
      <c r="A492" s="21"/>
    </row>
    <row r="493" spans="1:1" x14ac:dyDescent="0.4">
      <c r="A493" s="21"/>
    </row>
    <row r="494" spans="1:1" x14ac:dyDescent="0.4">
      <c r="A494" s="21"/>
    </row>
    <row r="495" spans="1:1" x14ac:dyDescent="0.4">
      <c r="A495" s="21"/>
    </row>
    <row r="496" spans="1:1" x14ac:dyDescent="0.4">
      <c r="A496" s="21"/>
    </row>
    <row r="497" spans="1:1" x14ac:dyDescent="0.4">
      <c r="A497" s="21"/>
    </row>
    <row r="498" spans="1:1" x14ac:dyDescent="0.4">
      <c r="A498" s="21"/>
    </row>
    <row r="499" spans="1:1" x14ac:dyDescent="0.4">
      <c r="A499" s="21"/>
    </row>
    <row r="500" spans="1:1" x14ac:dyDescent="0.4">
      <c r="A500" s="21"/>
    </row>
    <row r="501" spans="1:1" x14ac:dyDescent="0.4">
      <c r="A501" s="21"/>
    </row>
    <row r="502" spans="1:1" x14ac:dyDescent="0.4">
      <c r="A502" s="21"/>
    </row>
    <row r="503" spans="1:1" x14ac:dyDescent="0.4">
      <c r="A503" s="21"/>
    </row>
    <row r="504" spans="1:1" x14ac:dyDescent="0.4">
      <c r="A504" s="21"/>
    </row>
    <row r="505" spans="1:1" x14ac:dyDescent="0.4">
      <c r="A505" s="21"/>
    </row>
    <row r="506" spans="1:1" x14ac:dyDescent="0.4">
      <c r="A506" s="21"/>
    </row>
    <row r="507" spans="1:1" x14ac:dyDescent="0.4">
      <c r="A507" s="21"/>
    </row>
    <row r="508" spans="1:1" x14ac:dyDescent="0.4">
      <c r="A508" s="21"/>
    </row>
    <row r="509" spans="1:1" x14ac:dyDescent="0.4">
      <c r="A509" s="21"/>
    </row>
    <row r="510" spans="1:1" x14ac:dyDescent="0.4">
      <c r="A510" s="21"/>
    </row>
    <row r="511" spans="1:1" x14ac:dyDescent="0.4">
      <c r="A511" s="21"/>
    </row>
    <row r="512" spans="1:1" x14ac:dyDescent="0.4">
      <c r="A512" s="21"/>
    </row>
    <row r="513" spans="1:1" x14ac:dyDescent="0.4">
      <c r="A513" s="21"/>
    </row>
    <row r="514" spans="1:1" x14ac:dyDescent="0.4">
      <c r="A514" s="21"/>
    </row>
    <row r="515" spans="1:1" x14ac:dyDescent="0.4">
      <c r="A515" s="21"/>
    </row>
    <row r="516" spans="1:1" x14ac:dyDescent="0.4">
      <c r="A516" s="21"/>
    </row>
    <row r="517" spans="1:1" x14ac:dyDescent="0.4">
      <c r="A517" s="21"/>
    </row>
    <row r="518" spans="1:1" x14ac:dyDescent="0.4">
      <c r="A518" s="21"/>
    </row>
    <row r="519" spans="1:1" x14ac:dyDescent="0.4">
      <c r="A519" s="21"/>
    </row>
    <row r="520" spans="1:1" x14ac:dyDescent="0.4">
      <c r="A520" s="21"/>
    </row>
    <row r="521" spans="1:1" x14ac:dyDescent="0.4">
      <c r="A521" s="21"/>
    </row>
    <row r="522" spans="1:1" x14ac:dyDescent="0.4">
      <c r="A522" s="21"/>
    </row>
    <row r="523" spans="1:1" x14ac:dyDescent="0.4">
      <c r="A523" s="21"/>
    </row>
    <row r="524" spans="1:1" x14ac:dyDescent="0.4">
      <c r="A524" s="21"/>
    </row>
    <row r="525" spans="1:1" x14ac:dyDescent="0.4">
      <c r="A525" s="21"/>
    </row>
    <row r="526" spans="1:1" x14ac:dyDescent="0.4">
      <c r="A526" s="21"/>
    </row>
    <row r="527" spans="1:1" x14ac:dyDescent="0.4">
      <c r="A527" s="21"/>
    </row>
    <row r="528" spans="1:1" x14ac:dyDescent="0.4">
      <c r="A528" s="21"/>
    </row>
    <row r="529" spans="1:1" x14ac:dyDescent="0.4">
      <c r="A529" s="21"/>
    </row>
    <row r="530" spans="1:1" x14ac:dyDescent="0.4">
      <c r="A530" s="21"/>
    </row>
    <row r="531" spans="1:1" x14ac:dyDescent="0.4">
      <c r="A531" s="21"/>
    </row>
    <row r="532" spans="1:1" x14ac:dyDescent="0.4">
      <c r="A532" s="21"/>
    </row>
    <row r="533" spans="1:1" x14ac:dyDescent="0.4">
      <c r="A533" s="21"/>
    </row>
    <row r="534" spans="1:1" x14ac:dyDescent="0.4">
      <c r="A534" s="21"/>
    </row>
    <row r="535" spans="1:1" x14ac:dyDescent="0.4">
      <c r="A535" s="21"/>
    </row>
    <row r="536" spans="1:1" x14ac:dyDescent="0.4">
      <c r="A536" s="21"/>
    </row>
    <row r="537" spans="1:1" x14ac:dyDescent="0.4">
      <c r="A537" s="21"/>
    </row>
    <row r="538" spans="1:1" x14ac:dyDescent="0.4">
      <c r="A538" s="21"/>
    </row>
    <row r="539" spans="1:1" x14ac:dyDescent="0.4">
      <c r="A539" s="21"/>
    </row>
    <row r="540" spans="1:1" x14ac:dyDescent="0.4">
      <c r="A540" s="21"/>
    </row>
    <row r="541" spans="1:1" x14ac:dyDescent="0.4">
      <c r="A541" s="21"/>
    </row>
    <row r="542" spans="1:1" x14ac:dyDescent="0.4">
      <c r="A542" s="21"/>
    </row>
    <row r="543" spans="1:1" x14ac:dyDescent="0.4">
      <c r="A543" s="21"/>
    </row>
    <row r="544" spans="1:1" x14ac:dyDescent="0.4">
      <c r="A544" s="21"/>
    </row>
    <row r="545" spans="1:1" x14ac:dyDescent="0.4">
      <c r="A545" s="21"/>
    </row>
    <row r="546" spans="1:1" x14ac:dyDescent="0.4">
      <c r="A546" s="21"/>
    </row>
    <row r="547" spans="1:1" x14ac:dyDescent="0.4">
      <c r="A547" s="21"/>
    </row>
    <row r="548" spans="1:1" x14ac:dyDescent="0.4">
      <c r="A548" s="21"/>
    </row>
    <row r="549" spans="1:1" x14ac:dyDescent="0.4">
      <c r="A549" s="21"/>
    </row>
    <row r="550" spans="1:1" x14ac:dyDescent="0.4">
      <c r="A550" s="21"/>
    </row>
    <row r="551" spans="1:1" x14ac:dyDescent="0.4">
      <c r="A551" s="21"/>
    </row>
    <row r="552" spans="1:1" x14ac:dyDescent="0.4">
      <c r="A552" s="21"/>
    </row>
    <row r="553" spans="1:1" x14ac:dyDescent="0.4">
      <c r="A553" s="21"/>
    </row>
    <row r="554" spans="1:1" x14ac:dyDescent="0.4">
      <c r="A554" s="21"/>
    </row>
    <row r="555" spans="1:1" x14ac:dyDescent="0.4">
      <c r="A555" s="21"/>
    </row>
    <row r="556" spans="1:1" x14ac:dyDescent="0.4">
      <c r="A556" s="21"/>
    </row>
    <row r="557" spans="1:1" x14ac:dyDescent="0.4">
      <c r="A557" s="21"/>
    </row>
    <row r="558" spans="1:1" x14ac:dyDescent="0.4">
      <c r="A558" s="21"/>
    </row>
    <row r="559" spans="1:1" x14ac:dyDescent="0.4">
      <c r="A559" s="21"/>
    </row>
    <row r="560" spans="1:1" x14ac:dyDescent="0.4">
      <c r="A560" s="21"/>
    </row>
    <row r="561" spans="1:1" x14ac:dyDescent="0.4">
      <c r="A561" s="21"/>
    </row>
    <row r="562" spans="1:1" x14ac:dyDescent="0.4">
      <c r="A562" s="21"/>
    </row>
    <row r="563" spans="1:1" x14ac:dyDescent="0.4">
      <c r="A563" s="21"/>
    </row>
    <row r="564" spans="1:1" x14ac:dyDescent="0.4">
      <c r="A564" s="21"/>
    </row>
    <row r="565" spans="1:1" x14ac:dyDescent="0.4">
      <c r="A565" s="21"/>
    </row>
    <row r="566" spans="1:1" x14ac:dyDescent="0.4">
      <c r="A566" s="21"/>
    </row>
    <row r="567" spans="1:1" x14ac:dyDescent="0.4">
      <c r="A567" s="21"/>
    </row>
    <row r="568" spans="1:1" x14ac:dyDescent="0.4">
      <c r="A568" s="21"/>
    </row>
    <row r="569" spans="1:1" x14ac:dyDescent="0.4">
      <c r="A569" s="21"/>
    </row>
    <row r="570" spans="1:1" x14ac:dyDescent="0.4">
      <c r="A570" s="21"/>
    </row>
    <row r="571" spans="1:1" x14ac:dyDescent="0.4">
      <c r="A571" s="21"/>
    </row>
    <row r="572" spans="1:1" x14ac:dyDescent="0.4">
      <c r="A572" s="21"/>
    </row>
    <row r="573" spans="1:1" x14ac:dyDescent="0.4">
      <c r="A573" s="21"/>
    </row>
    <row r="574" spans="1:1" x14ac:dyDescent="0.4">
      <c r="A574" s="21"/>
    </row>
    <row r="575" spans="1:1" x14ac:dyDescent="0.4">
      <c r="A575" s="21"/>
    </row>
    <row r="576" spans="1:1" x14ac:dyDescent="0.4">
      <c r="A576" s="21"/>
    </row>
    <row r="577" spans="1:1" x14ac:dyDescent="0.4">
      <c r="A577" s="21"/>
    </row>
    <row r="578" spans="1:1" x14ac:dyDescent="0.4">
      <c r="A578" s="21"/>
    </row>
    <row r="579" spans="1:1" x14ac:dyDescent="0.4">
      <c r="A579" s="21"/>
    </row>
    <row r="580" spans="1:1" x14ac:dyDescent="0.4">
      <c r="A580" s="21"/>
    </row>
    <row r="581" spans="1:1" x14ac:dyDescent="0.4">
      <c r="A581" s="21"/>
    </row>
    <row r="582" spans="1:1" x14ac:dyDescent="0.4">
      <c r="A582" s="21"/>
    </row>
    <row r="583" spans="1:1" x14ac:dyDescent="0.4">
      <c r="A583" s="21"/>
    </row>
    <row r="584" spans="1:1" x14ac:dyDescent="0.4">
      <c r="A584" s="21"/>
    </row>
    <row r="585" spans="1:1" x14ac:dyDescent="0.4">
      <c r="A585" s="21"/>
    </row>
    <row r="586" spans="1:1" x14ac:dyDescent="0.4">
      <c r="A586" s="21"/>
    </row>
    <row r="587" spans="1:1" x14ac:dyDescent="0.4">
      <c r="A587" s="21"/>
    </row>
    <row r="588" spans="1:1" x14ac:dyDescent="0.4">
      <c r="A588" s="21"/>
    </row>
    <row r="589" spans="1:1" x14ac:dyDescent="0.4">
      <c r="A589" s="21"/>
    </row>
    <row r="590" spans="1:1" x14ac:dyDescent="0.4">
      <c r="A590" s="21"/>
    </row>
    <row r="591" spans="1:1" x14ac:dyDescent="0.4">
      <c r="A591" s="21"/>
    </row>
    <row r="592" spans="1:1" x14ac:dyDescent="0.4">
      <c r="A592" s="21"/>
    </row>
    <row r="593" spans="1:1" x14ac:dyDescent="0.4">
      <c r="A593" s="21"/>
    </row>
    <row r="594" spans="1:1" x14ac:dyDescent="0.4">
      <c r="A594" s="21"/>
    </row>
    <row r="595" spans="1:1" x14ac:dyDescent="0.4">
      <c r="A595" s="21"/>
    </row>
    <row r="596" spans="1:1" x14ac:dyDescent="0.4">
      <c r="A596" s="21"/>
    </row>
    <row r="597" spans="1:1" x14ac:dyDescent="0.4">
      <c r="A597" s="21"/>
    </row>
    <row r="598" spans="1:1" x14ac:dyDescent="0.4">
      <c r="A598" s="21"/>
    </row>
    <row r="599" spans="1:1" x14ac:dyDescent="0.4">
      <c r="A599" s="21"/>
    </row>
    <row r="600" spans="1:1" x14ac:dyDescent="0.4">
      <c r="A600" s="21"/>
    </row>
    <row r="601" spans="1:1" x14ac:dyDescent="0.4">
      <c r="A601" s="21"/>
    </row>
    <row r="602" spans="1:1" x14ac:dyDescent="0.4">
      <c r="A602" s="21"/>
    </row>
    <row r="603" spans="1:1" x14ac:dyDescent="0.4">
      <c r="A603" s="21"/>
    </row>
    <row r="604" spans="1:1" x14ac:dyDescent="0.4">
      <c r="A604" s="21"/>
    </row>
    <row r="605" spans="1:1" x14ac:dyDescent="0.4">
      <c r="A605" s="21"/>
    </row>
    <row r="606" spans="1:1" x14ac:dyDescent="0.4">
      <c r="A606" s="21"/>
    </row>
    <row r="607" spans="1:1" x14ac:dyDescent="0.4">
      <c r="A607" s="21"/>
    </row>
    <row r="608" spans="1:1" x14ac:dyDescent="0.4">
      <c r="A608" s="21"/>
    </row>
    <row r="609" spans="1:1" x14ac:dyDescent="0.4">
      <c r="A609" s="21"/>
    </row>
    <row r="610" spans="1:1" x14ac:dyDescent="0.4">
      <c r="A610" s="21"/>
    </row>
    <row r="611" spans="1:1" x14ac:dyDescent="0.4">
      <c r="A611" s="21"/>
    </row>
    <row r="612" spans="1:1" x14ac:dyDescent="0.4">
      <c r="A612" s="21"/>
    </row>
    <row r="613" spans="1:1" x14ac:dyDescent="0.4">
      <c r="A613" s="21"/>
    </row>
    <row r="614" spans="1:1" x14ac:dyDescent="0.4">
      <c r="A614" s="21"/>
    </row>
    <row r="615" spans="1:1" x14ac:dyDescent="0.4">
      <c r="A615" s="21"/>
    </row>
    <row r="616" spans="1:1" x14ac:dyDescent="0.4">
      <c r="A616" s="21"/>
    </row>
    <row r="617" spans="1:1" x14ac:dyDescent="0.4">
      <c r="A617" s="21"/>
    </row>
    <row r="618" spans="1:1" x14ac:dyDescent="0.4">
      <c r="A618" s="21"/>
    </row>
    <row r="619" spans="1:1" x14ac:dyDescent="0.4">
      <c r="A619" s="21"/>
    </row>
    <row r="620" spans="1:1" x14ac:dyDescent="0.4">
      <c r="A620" s="21"/>
    </row>
    <row r="621" spans="1:1" x14ac:dyDescent="0.4">
      <c r="A621" s="21"/>
    </row>
    <row r="622" spans="1:1" x14ac:dyDescent="0.4">
      <c r="A622" s="21"/>
    </row>
    <row r="623" spans="1:1" x14ac:dyDescent="0.4">
      <c r="A623" s="21"/>
    </row>
    <row r="624" spans="1:1" x14ac:dyDescent="0.4">
      <c r="A624" s="21"/>
    </row>
    <row r="625" spans="1:1" x14ac:dyDescent="0.4">
      <c r="A625" s="21"/>
    </row>
    <row r="626" spans="1:1" x14ac:dyDescent="0.4">
      <c r="A626" s="21"/>
    </row>
    <row r="627" spans="1:1" x14ac:dyDescent="0.4">
      <c r="A627" s="21"/>
    </row>
    <row r="628" spans="1:1" x14ac:dyDescent="0.4">
      <c r="A628" s="21"/>
    </row>
    <row r="629" spans="1:1" x14ac:dyDescent="0.4">
      <c r="A629" s="21"/>
    </row>
    <row r="630" spans="1:1" x14ac:dyDescent="0.4">
      <c r="A630" s="21"/>
    </row>
    <row r="631" spans="1:1" x14ac:dyDescent="0.4">
      <c r="A631" s="21"/>
    </row>
    <row r="632" spans="1:1" x14ac:dyDescent="0.4">
      <c r="A632" s="21"/>
    </row>
    <row r="633" spans="1:1" x14ac:dyDescent="0.4">
      <c r="A633" s="21"/>
    </row>
    <row r="634" spans="1:1" x14ac:dyDescent="0.4">
      <c r="A634" s="21"/>
    </row>
    <row r="635" spans="1:1" x14ac:dyDescent="0.4">
      <c r="A635" s="21"/>
    </row>
    <row r="636" spans="1:1" x14ac:dyDescent="0.4">
      <c r="A636" s="21"/>
    </row>
    <row r="637" spans="1:1" x14ac:dyDescent="0.4">
      <c r="A637" s="21"/>
    </row>
    <row r="638" spans="1:1" x14ac:dyDescent="0.4">
      <c r="A638" s="21"/>
    </row>
    <row r="639" spans="1:1" x14ac:dyDescent="0.4">
      <c r="A639" s="21"/>
    </row>
    <row r="640" spans="1:1" x14ac:dyDescent="0.4">
      <c r="A640" s="21"/>
    </row>
    <row r="641" spans="1:1" x14ac:dyDescent="0.4">
      <c r="A641" s="21"/>
    </row>
    <row r="642" spans="1:1" x14ac:dyDescent="0.4">
      <c r="A642" s="21"/>
    </row>
    <row r="643" spans="1:1" x14ac:dyDescent="0.4">
      <c r="A643" s="21"/>
    </row>
    <row r="644" spans="1:1" x14ac:dyDescent="0.4">
      <c r="A644" s="21"/>
    </row>
    <row r="645" spans="1:1" x14ac:dyDescent="0.4">
      <c r="A645" s="21"/>
    </row>
    <row r="646" spans="1:1" x14ac:dyDescent="0.4">
      <c r="A646" s="21"/>
    </row>
    <row r="647" spans="1:1" x14ac:dyDescent="0.4">
      <c r="A647" s="21"/>
    </row>
    <row r="648" spans="1:1" x14ac:dyDescent="0.4">
      <c r="A648" s="21"/>
    </row>
    <row r="649" spans="1:1" x14ac:dyDescent="0.4">
      <c r="A649" s="21"/>
    </row>
    <row r="650" spans="1:1" x14ac:dyDescent="0.4">
      <c r="A650" s="21"/>
    </row>
    <row r="651" spans="1:1" x14ac:dyDescent="0.4">
      <c r="A651" s="21"/>
    </row>
    <row r="652" spans="1:1" x14ac:dyDescent="0.4">
      <c r="A652" s="21"/>
    </row>
    <row r="653" spans="1:1" x14ac:dyDescent="0.4">
      <c r="A653" s="21"/>
    </row>
    <row r="654" spans="1:1" x14ac:dyDescent="0.4">
      <c r="A654" s="21"/>
    </row>
    <row r="655" spans="1:1" x14ac:dyDescent="0.4">
      <c r="A655" s="21"/>
    </row>
    <row r="656" spans="1:1" x14ac:dyDescent="0.4">
      <c r="A656" s="21"/>
    </row>
    <row r="657" spans="1:1" x14ac:dyDescent="0.4">
      <c r="A657" s="21"/>
    </row>
    <row r="658" spans="1:1" x14ac:dyDescent="0.4">
      <c r="A658" s="21"/>
    </row>
    <row r="659" spans="1:1" x14ac:dyDescent="0.4">
      <c r="A659" s="21"/>
    </row>
    <row r="660" spans="1:1" x14ac:dyDescent="0.4">
      <c r="A660" s="21"/>
    </row>
    <row r="661" spans="1:1" x14ac:dyDescent="0.4">
      <c r="A661" s="21"/>
    </row>
    <row r="662" spans="1:1" x14ac:dyDescent="0.4">
      <c r="A662" s="21"/>
    </row>
    <row r="663" spans="1:1" x14ac:dyDescent="0.4">
      <c r="A663" s="21"/>
    </row>
    <row r="664" spans="1:1" x14ac:dyDescent="0.4">
      <c r="A664" s="21"/>
    </row>
    <row r="665" spans="1:1" x14ac:dyDescent="0.4">
      <c r="A665" s="21"/>
    </row>
    <row r="666" spans="1:1" x14ac:dyDescent="0.4">
      <c r="A666" s="21"/>
    </row>
    <row r="667" spans="1:1" x14ac:dyDescent="0.4">
      <c r="A667" s="21"/>
    </row>
    <row r="668" spans="1:1" x14ac:dyDescent="0.4">
      <c r="A668" s="21"/>
    </row>
    <row r="669" spans="1:1" x14ac:dyDescent="0.4">
      <c r="A669" s="21"/>
    </row>
    <row r="670" spans="1:1" x14ac:dyDescent="0.4">
      <c r="A670" s="21"/>
    </row>
    <row r="671" spans="1:1" x14ac:dyDescent="0.4">
      <c r="A671" s="21"/>
    </row>
    <row r="672" spans="1:1" x14ac:dyDescent="0.4">
      <c r="A672" s="21"/>
    </row>
    <row r="673" spans="1:1" x14ac:dyDescent="0.4">
      <c r="A673" s="21"/>
    </row>
    <row r="674" spans="1:1" x14ac:dyDescent="0.4">
      <c r="A674" s="21"/>
    </row>
    <row r="675" spans="1:1" x14ac:dyDescent="0.4">
      <c r="A675" s="21"/>
    </row>
    <row r="676" spans="1:1" x14ac:dyDescent="0.4">
      <c r="A676" s="21"/>
    </row>
    <row r="677" spans="1:1" x14ac:dyDescent="0.4">
      <c r="A677" s="21"/>
    </row>
    <row r="678" spans="1:1" x14ac:dyDescent="0.4">
      <c r="A678" s="21"/>
    </row>
    <row r="679" spans="1:1" x14ac:dyDescent="0.4">
      <c r="A679" s="21"/>
    </row>
    <row r="680" spans="1:1" x14ac:dyDescent="0.4">
      <c r="A680" s="21"/>
    </row>
    <row r="681" spans="1:1" x14ac:dyDescent="0.4">
      <c r="A681" s="21"/>
    </row>
    <row r="682" spans="1:1" x14ac:dyDescent="0.4">
      <c r="A682" s="21"/>
    </row>
    <row r="683" spans="1:1" x14ac:dyDescent="0.4">
      <c r="A683" s="21"/>
    </row>
    <row r="684" spans="1:1" x14ac:dyDescent="0.4">
      <c r="A684" s="21"/>
    </row>
    <row r="685" spans="1:1" x14ac:dyDescent="0.4">
      <c r="A685" s="21"/>
    </row>
    <row r="686" spans="1:1" x14ac:dyDescent="0.4">
      <c r="A686" s="21"/>
    </row>
    <row r="687" spans="1:1" x14ac:dyDescent="0.4">
      <c r="A687" s="21"/>
    </row>
    <row r="688" spans="1:1" x14ac:dyDescent="0.4">
      <c r="A688" s="21"/>
    </row>
    <row r="689" spans="1:1" x14ac:dyDescent="0.4">
      <c r="A689" s="21"/>
    </row>
    <row r="690" spans="1:1" x14ac:dyDescent="0.4">
      <c r="A690" s="21"/>
    </row>
    <row r="691" spans="1:1" x14ac:dyDescent="0.4">
      <c r="A691" s="21"/>
    </row>
    <row r="692" spans="1:1" x14ac:dyDescent="0.4">
      <c r="A692" s="21"/>
    </row>
    <row r="693" spans="1:1" x14ac:dyDescent="0.4">
      <c r="A693" s="21"/>
    </row>
    <row r="694" spans="1:1" x14ac:dyDescent="0.4">
      <c r="A694" s="21"/>
    </row>
    <row r="695" spans="1:1" x14ac:dyDescent="0.4">
      <c r="A695" s="21"/>
    </row>
    <row r="696" spans="1:1" x14ac:dyDescent="0.4">
      <c r="A696" s="21"/>
    </row>
    <row r="697" spans="1:1" x14ac:dyDescent="0.4">
      <c r="A697" s="21"/>
    </row>
    <row r="698" spans="1:1" x14ac:dyDescent="0.4">
      <c r="A698" s="21"/>
    </row>
    <row r="699" spans="1:1" x14ac:dyDescent="0.4">
      <c r="A699" s="21"/>
    </row>
    <row r="700" spans="1:1" x14ac:dyDescent="0.4">
      <c r="A700" s="21"/>
    </row>
    <row r="701" spans="1:1" x14ac:dyDescent="0.4">
      <c r="A701" s="21"/>
    </row>
    <row r="702" spans="1:1" x14ac:dyDescent="0.4">
      <c r="A702" s="21"/>
    </row>
    <row r="703" spans="1:1" x14ac:dyDescent="0.4">
      <c r="A703" s="21"/>
    </row>
    <row r="704" spans="1:1" x14ac:dyDescent="0.4">
      <c r="A704" s="21"/>
    </row>
    <row r="705" spans="1:1" x14ac:dyDescent="0.4">
      <c r="A705" s="21"/>
    </row>
    <row r="706" spans="1:1" x14ac:dyDescent="0.4">
      <c r="A706" s="21"/>
    </row>
    <row r="707" spans="1:1" x14ac:dyDescent="0.4">
      <c r="A707" s="21"/>
    </row>
    <row r="708" spans="1:1" x14ac:dyDescent="0.4">
      <c r="A708" s="21"/>
    </row>
    <row r="709" spans="1:1" x14ac:dyDescent="0.4">
      <c r="A709" s="21"/>
    </row>
    <row r="710" spans="1:1" x14ac:dyDescent="0.4">
      <c r="A710" s="21"/>
    </row>
    <row r="711" spans="1:1" x14ac:dyDescent="0.4">
      <c r="A711" s="21"/>
    </row>
    <row r="712" spans="1:1" x14ac:dyDescent="0.4">
      <c r="A712" s="21"/>
    </row>
    <row r="713" spans="1:1" x14ac:dyDescent="0.4">
      <c r="A713" s="21"/>
    </row>
    <row r="714" spans="1:1" x14ac:dyDescent="0.4">
      <c r="A714" s="21"/>
    </row>
    <row r="715" spans="1:1" x14ac:dyDescent="0.4">
      <c r="A715" s="21"/>
    </row>
    <row r="716" spans="1:1" x14ac:dyDescent="0.4">
      <c r="A716" s="21"/>
    </row>
    <row r="717" spans="1:1" x14ac:dyDescent="0.4">
      <c r="A717" s="21"/>
    </row>
    <row r="718" spans="1:1" x14ac:dyDescent="0.4">
      <c r="A718" s="21"/>
    </row>
    <row r="719" spans="1:1" x14ac:dyDescent="0.4">
      <c r="A719" s="21"/>
    </row>
    <row r="720" spans="1:1" x14ac:dyDescent="0.4">
      <c r="A720" s="21"/>
    </row>
    <row r="721" spans="1:1" x14ac:dyDescent="0.4">
      <c r="A721" s="21"/>
    </row>
    <row r="722" spans="1:1" x14ac:dyDescent="0.4">
      <c r="A722" s="21"/>
    </row>
    <row r="723" spans="1:1" x14ac:dyDescent="0.4">
      <c r="A723" s="21"/>
    </row>
    <row r="724" spans="1:1" x14ac:dyDescent="0.4">
      <c r="A724" s="21"/>
    </row>
    <row r="725" spans="1:1" x14ac:dyDescent="0.4">
      <c r="A725" s="21"/>
    </row>
    <row r="726" spans="1:1" x14ac:dyDescent="0.4">
      <c r="A726" s="21"/>
    </row>
    <row r="727" spans="1:1" x14ac:dyDescent="0.4">
      <c r="A727" s="21"/>
    </row>
    <row r="728" spans="1:1" x14ac:dyDescent="0.4">
      <c r="A728" s="21"/>
    </row>
    <row r="729" spans="1:1" x14ac:dyDescent="0.4">
      <c r="A729" s="21"/>
    </row>
    <row r="730" spans="1:1" x14ac:dyDescent="0.4">
      <c r="A730" s="21"/>
    </row>
    <row r="731" spans="1:1" x14ac:dyDescent="0.4">
      <c r="A731" s="21"/>
    </row>
    <row r="732" spans="1:1" x14ac:dyDescent="0.4">
      <c r="A732" s="21"/>
    </row>
    <row r="733" spans="1:1" x14ac:dyDescent="0.4">
      <c r="A733" s="21"/>
    </row>
    <row r="734" spans="1:1" x14ac:dyDescent="0.4">
      <c r="A734" s="21"/>
    </row>
    <row r="735" spans="1:1" x14ac:dyDescent="0.4">
      <c r="A735" s="21"/>
    </row>
    <row r="736" spans="1:1" x14ac:dyDescent="0.4">
      <c r="A736" s="21"/>
    </row>
    <row r="737" spans="1:1" x14ac:dyDescent="0.4">
      <c r="A737" s="21"/>
    </row>
    <row r="738" spans="1:1" x14ac:dyDescent="0.4">
      <c r="A738" s="21"/>
    </row>
    <row r="739" spans="1:1" x14ac:dyDescent="0.4">
      <c r="A739" s="21"/>
    </row>
    <row r="740" spans="1:1" x14ac:dyDescent="0.4">
      <c r="A740" s="21"/>
    </row>
    <row r="741" spans="1:1" x14ac:dyDescent="0.4">
      <c r="A741" s="21"/>
    </row>
    <row r="742" spans="1:1" x14ac:dyDescent="0.4">
      <c r="A742" s="21"/>
    </row>
    <row r="743" spans="1:1" x14ac:dyDescent="0.4">
      <c r="A743" s="21"/>
    </row>
    <row r="744" spans="1:1" x14ac:dyDescent="0.4">
      <c r="A744" s="21"/>
    </row>
    <row r="745" spans="1:1" x14ac:dyDescent="0.4">
      <c r="A745" s="21"/>
    </row>
    <row r="746" spans="1:1" x14ac:dyDescent="0.4">
      <c r="A746" s="21"/>
    </row>
    <row r="747" spans="1:1" x14ac:dyDescent="0.4">
      <c r="A747" s="21"/>
    </row>
    <row r="748" spans="1:1" x14ac:dyDescent="0.4">
      <c r="A748" s="21"/>
    </row>
    <row r="749" spans="1:1" x14ac:dyDescent="0.4">
      <c r="A749" s="21"/>
    </row>
    <row r="750" spans="1:1" x14ac:dyDescent="0.4">
      <c r="A750" s="21"/>
    </row>
    <row r="751" spans="1:1" x14ac:dyDescent="0.4">
      <c r="A751" s="21"/>
    </row>
    <row r="752" spans="1:1" x14ac:dyDescent="0.4">
      <c r="A752" s="21"/>
    </row>
    <row r="753" spans="1:1" x14ac:dyDescent="0.4">
      <c r="A753" s="21"/>
    </row>
    <row r="754" spans="1:1" x14ac:dyDescent="0.4">
      <c r="A754" s="21"/>
    </row>
    <row r="755" spans="1:1" x14ac:dyDescent="0.4">
      <c r="A755" s="21"/>
    </row>
    <row r="756" spans="1:1" x14ac:dyDescent="0.4">
      <c r="A756" s="21"/>
    </row>
    <row r="757" spans="1:1" x14ac:dyDescent="0.4">
      <c r="A757" s="21"/>
    </row>
    <row r="758" spans="1:1" x14ac:dyDescent="0.4">
      <c r="A758" s="21"/>
    </row>
    <row r="759" spans="1:1" x14ac:dyDescent="0.4">
      <c r="A759" s="21"/>
    </row>
    <row r="760" spans="1:1" x14ac:dyDescent="0.4">
      <c r="A760" s="21"/>
    </row>
    <row r="761" spans="1:1" x14ac:dyDescent="0.4">
      <c r="A761" s="21"/>
    </row>
    <row r="762" spans="1:1" x14ac:dyDescent="0.4">
      <c r="A762" s="21"/>
    </row>
    <row r="763" spans="1:1" x14ac:dyDescent="0.4">
      <c r="A763" s="21"/>
    </row>
    <row r="764" spans="1:1" x14ac:dyDescent="0.4">
      <c r="A764" s="21"/>
    </row>
    <row r="765" spans="1:1" x14ac:dyDescent="0.4">
      <c r="A765" s="21"/>
    </row>
    <row r="766" spans="1:1" x14ac:dyDescent="0.4">
      <c r="A766" s="21"/>
    </row>
    <row r="767" spans="1:1" x14ac:dyDescent="0.4">
      <c r="A767" s="21"/>
    </row>
    <row r="768" spans="1:1" x14ac:dyDescent="0.4">
      <c r="A768" s="21"/>
    </row>
    <row r="769" spans="1:1" x14ac:dyDescent="0.4">
      <c r="A769" s="21"/>
    </row>
    <row r="770" spans="1:1" x14ac:dyDescent="0.4">
      <c r="A770" s="21"/>
    </row>
    <row r="771" spans="1:1" x14ac:dyDescent="0.4">
      <c r="A771" s="21"/>
    </row>
    <row r="772" spans="1:1" x14ac:dyDescent="0.4">
      <c r="A772" s="21"/>
    </row>
    <row r="773" spans="1:1" x14ac:dyDescent="0.4">
      <c r="A773" s="21"/>
    </row>
    <row r="774" spans="1:1" x14ac:dyDescent="0.4">
      <c r="A774" s="21"/>
    </row>
    <row r="775" spans="1:1" x14ac:dyDescent="0.4">
      <c r="A775" s="21"/>
    </row>
    <row r="776" spans="1:1" x14ac:dyDescent="0.4">
      <c r="A776" s="21"/>
    </row>
    <row r="777" spans="1:1" x14ac:dyDescent="0.4">
      <c r="A777" s="21"/>
    </row>
    <row r="778" spans="1:1" x14ac:dyDescent="0.4">
      <c r="A778" s="21"/>
    </row>
    <row r="779" spans="1:1" x14ac:dyDescent="0.4">
      <c r="A779" s="21"/>
    </row>
    <row r="780" spans="1:1" x14ac:dyDescent="0.4">
      <c r="A780" s="21"/>
    </row>
    <row r="781" spans="1:1" x14ac:dyDescent="0.4">
      <c r="A781" s="21"/>
    </row>
    <row r="782" spans="1:1" x14ac:dyDescent="0.4">
      <c r="A782" s="21"/>
    </row>
    <row r="783" spans="1:1" x14ac:dyDescent="0.4">
      <c r="A783" s="21"/>
    </row>
    <row r="784" spans="1:1" x14ac:dyDescent="0.4">
      <c r="A784" s="21"/>
    </row>
    <row r="785" spans="1:1" x14ac:dyDescent="0.4">
      <c r="A785" s="21"/>
    </row>
    <row r="786" spans="1:1" x14ac:dyDescent="0.4">
      <c r="A786" s="21"/>
    </row>
    <row r="787" spans="1:1" x14ac:dyDescent="0.4">
      <c r="A787" s="21"/>
    </row>
    <row r="788" spans="1:1" x14ac:dyDescent="0.4">
      <c r="A788" s="21"/>
    </row>
    <row r="789" spans="1:1" x14ac:dyDescent="0.4">
      <c r="A789" s="21"/>
    </row>
    <row r="790" spans="1:1" x14ac:dyDescent="0.4">
      <c r="A790" s="21"/>
    </row>
    <row r="791" spans="1:1" x14ac:dyDescent="0.4">
      <c r="A791" s="21"/>
    </row>
    <row r="792" spans="1:1" x14ac:dyDescent="0.4">
      <c r="A792" s="21"/>
    </row>
    <row r="793" spans="1:1" x14ac:dyDescent="0.4">
      <c r="A793" s="21"/>
    </row>
    <row r="794" spans="1:1" x14ac:dyDescent="0.4">
      <c r="A794" s="21"/>
    </row>
    <row r="795" spans="1:1" x14ac:dyDescent="0.4">
      <c r="A795" s="21"/>
    </row>
    <row r="796" spans="1:1" x14ac:dyDescent="0.4">
      <c r="A796" s="21"/>
    </row>
    <row r="797" spans="1:1" x14ac:dyDescent="0.4">
      <c r="A797" s="21"/>
    </row>
    <row r="798" spans="1:1" x14ac:dyDescent="0.4">
      <c r="A798" s="21"/>
    </row>
    <row r="799" spans="1:1" x14ac:dyDescent="0.4">
      <c r="A799" s="21"/>
    </row>
    <row r="800" spans="1:1" x14ac:dyDescent="0.4">
      <c r="A800" s="21"/>
    </row>
    <row r="801" spans="1:1" x14ac:dyDescent="0.4">
      <c r="A801" s="21"/>
    </row>
    <row r="802" spans="1:1" x14ac:dyDescent="0.4">
      <c r="A802" s="21"/>
    </row>
    <row r="803" spans="1:1" x14ac:dyDescent="0.4">
      <c r="A803" s="21"/>
    </row>
    <row r="804" spans="1:1" x14ac:dyDescent="0.4">
      <c r="A804" s="21"/>
    </row>
    <row r="805" spans="1:1" x14ac:dyDescent="0.4">
      <c r="A805" s="21"/>
    </row>
    <row r="806" spans="1:1" x14ac:dyDescent="0.4">
      <c r="A806" s="21"/>
    </row>
    <row r="807" spans="1:1" x14ac:dyDescent="0.4">
      <c r="A807" s="21"/>
    </row>
    <row r="808" spans="1:1" x14ac:dyDescent="0.4">
      <c r="A808" s="21"/>
    </row>
    <row r="809" spans="1:1" x14ac:dyDescent="0.4">
      <c r="A809" s="21"/>
    </row>
    <row r="810" spans="1:1" x14ac:dyDescent="0.4">
      <c r="A810" s="21"/>
    </row>
    <row r="811" spans="1:1" x14ac:dyDescent="0.4">
      <c r="A811" s="21"/>
    </row>
    <row r="812" spans="1:1" x14ac:dyDescent="0.4">
      <c r="A812" s="21"/>
    </row>
    <row r="813" spans="1:1" x14ac:dyDescent="0.4">
      <c r="A813" s="21"/>
    </row>
    <row r="814" spans="1:1" x14ac:dyDescent="0.4">
      <c r="A814" s="21"/>
    </row>
    <row r="815" spans="1:1" x14ac:dyDescent="0.4">
      <c r="A815" s="21"/>
    </row>
    <row r="816" spans="1:1" x14ac:dyDescent="0.4">
      <c r="A816" s="21"/>
    </row>
    <row r="817" spans="1:1" x14ac:dyDescent="0.4">
      <c r="A817" s="21"/>
    </row>
    <row r="818" spans="1:1" x14ac:dyDescent="0.4">
      <c r="A818" s="21"/>
    </row>
    <row r="819" spans="1:1" x14ac:dyDescent="0.4">
      <c r="A819" s="21"/>
    </row>
    <row r="820" spans="1:1" x14ac:dyDescent="0.4">
      <c r="A820" s="21"/>
    </row>
    <row r="821" spans="1:1" x14ac:dyDescent="0.4">
      <c r="A821" s="21"/>
    </row>
    <row r="822" spans="1:1" x14ac:dyDescent="0.4">
      <c r="A822" s="21"/>
    </row>
    <row r="823" spans="1:1" x14ac:dyDescent="0.4">
      <c r="A823" s="21"/>
    </row>
    <row r="824" spans="1:1" x14ac:dyDescent="0.4">
      <c r="A824" s="21"/>
    </row>
    <row r="825" spans="1:1" x14ac:dyDescent="0.4">
      <c r="A825" s="21"/>
    </row>
    <row r="826" spans="1:1" x14ac:dyDescent="0.4">
      <c r="A826" s="21"/>
    </row>
    <row r="827" spans="1:1" x14ac:dyDescent="0.4">
      <c r="A827" s="21"/>
    </row>
    <row r="828" spans="1:1" x14ac:dyDescent="0.4">
      <c r="A828" s="21"/>
    </row>
    <row r="829" spans="1:1" x14ac:dyDescent="0.4">
      <c r="A829" s="21"/>
    </row>
    <row r="830" spans="1:1" x14ac:dyDescent="0.4">
      <c r="A830" s="21"/>
    </row>
    <row r="831" spans="1:1" x14ac:dyDescent="0.4">
      <c r="A831" s="21"/>
    </row>
    <row r="832" spans="1:1" x14ac:dyDescent="0.4">
      <c r="A832" s="21"/>
    </row>
    <row r="833" spans="1:1" x14ac:dyDescent="0.4">
      <c r="A833" s="21"/>
    </row>
    <row r="834" spans="1:1" x14ac:dyDescent="0.4">
      <c r="A834" s="21"/>
    </row>
    <row r="835" spans="1:1" x14ac:dyDescent="0.4">
      <c r="A835" s="21"/>
    </row>
    <row r="836" spans="1:1" x14ac:dyDescent="0.4">
      <c r="A836" s="21"/>
    </row>
    <row r="837" spans="1:1" x14ac:dyDescent="0.4">
      <c r="A837" s="21"/>
    </row>
    <row r="838" spans="1:1" x14ac:dyDescent="0.4">
      <c r="A838" s="21"/>
    </row>
    <row r="839" spans="1:1" x14ac:dyDescent="0.4">
      <c r="A839" s="21"/>
    </row>
    <row r="840" spans="1:1" x14ac:dyDescent="0.4">
      <c r="A840" s="21"/>
    </row>
    <row r="841" spans="1:1" x14ac:dyDescent="0.4">
      <c r="A841" s="21"/>
    </row>
    <row r="842" spans="1:1" x14ac:dyDescent="0.4">
      <c r="A842" s="21"/>
    </row>
    <row r="843" spans="1:1" x14ac:dyDescent="0.4">
      <c r="A843" s="21"/>
    </row>
    <row r="844" spans="1:1" x14ac:dyDescent="0.4">
      <c r="A844" s="21"/>
    </row>
    <row r="845" spans="1:1" x14ac:dyDescent="0.4">
      <c r="A845" s="21"/>
    </row>
    <row r="846" spans="1:1" x14ac:dyDescent="0.4">
      <c r="A846" s="21"/>
    </row>
    <row r="847" spans="1:1" x14ac:dyDescent="0.4">
      <c r="A847" s="21"/>
    </row>
    <row r="848" spans="1:1" x14ac:dyDescent="0.4">
      <c r="A848" s="21"/>
    </row>
    <row r="849" spans="1:1" x14ac:dyDescent="0.4">
      <c r="A849" s="21"/>
    </row>
    <row r="850" spans="1:1" x14ac:dyDescent="0.4">
      <c r="A850" s="21"/>
    </row>
    <row r="851" spans="1:1" x14ac:dyDescent="0.4">
      <c r="A851" s="21"/>
    </row>
    <row r="852" spans="1:1" x14ac:dyDescent="0.4">
      <c r="A852" s="21"/>
    </row>
    <row r="853" spans="1:1" x14ac:dyDescent="0.4">
      <c r="A853" s="21"/>
    </row>
    <row r="854" spans="1:1" x14ac:dyDescent="0.4">
      <c r="A854" s="21"/>
    </row>
    <row r="855" spans="1:1" x14ac:dyDescent="0.4">
      <c r="A855" s="21"/>
    </row>
    <row r="856" spans="1:1" x14ac:dyDescent="0.4">
      <c r="A856" s="21"/>
    </row>
    <row r="857" spans="1:1" x14ac:dyDescent="0.4">
      <c r="A857" s="21"/>
    </row>
    <row r="858" spans="1:1" x14ac:dyDescent="0.4">
      <c r="A858" s="21"/>
    </row>
    <row r="859" spans="1:1" x14ac:dyDescent="0.4">
      <c r="A859" s="21"/>
    </row>
    <row r="860" spans="1:1" x14ac:dyDescent="0.4">
      <c r="A860" s="21"/>
    </row>
    <row r="861" spans="1:1" x14ac:dyDescent="0.4">
      <c r="A861" s="21"/>
    </row>
    <row r="862" spans="1:1" x14ac:dyDescent="0.4">
      <c r="A862" s="21"/>
    </row>
    <row r="863" spans="1:1" x14ac:dyDescent="0.4">
      <c r="A863" s="21"/>
    </row>
    <row r="864" spans="1:1" x14ac:dyDescent="0.4">
      <c r="A864" s="21"/>
    </row>
    <row r="865" spans="1:1" x14ac:dyDescent="0.4">
      <c r="A865" s="21"/>
    </row>
    <row r="866" spans="1:1" x14ac:dyDescent="0.4">
      <c r="A866" s="21"/>
    </row>
    <row r="867" spans="1:1" x14ac:dyDescent="0.4">
      <c r="A867" s="21"/>
    </row>
    <row r="868" spans="1:1" x14ac:dyDescent="0.4">
      <c r="A868" s="21"/>
    </row>
    <row r="869" spans="1:1" x14ac:dyDescent="0.4">
      <c r="A869" s="21"/>
    </row>
    <row r="870" spans="1:1" x14ac:dyDescent="0.4">
      <c r="A870" s="21"/>
    </row>
    <row r="871" spans="1:1" x14ac:dyDescent="0.4">
      <c r="A871" s="21"/>
    </row>
    <row r="872" spans="1:1" x14ac:dyDescent="0.4">
      <c r="A872" s="21"/>
    </row>
    <row r="873" spans="1:1" x14ac:dyDescent="0.4">
      <c r="A873" s="21"/>
    </row>
    <row r="874" spans="1:1" x14ac:dyDescent="0.4">
      <c r="A874" s="21"/>
    </row>
    <row r="875" spans="1:1" x14ac:dyDescent="0.4">
      <c r="A875" s="21"/>
    </row>
    <row r="876" spans="1:1" x14ac:dyDescent="0.4">
      <c r="A876" s="21"/>
    </row>
    <row r="877" spans="1:1" x14ac:dyDescent="0.4">
      <c r="A877" s="21"/>
    </row>
    <row r="878" spans="1:1" x14ac:dyDescent="0.4">
      <c r="A878" s="21"/>
    </row>
    <row r="879" spans="1:1" x14ac:dyDescent="0.4">
      <c r="A879" s="21"/>
    </row>
    <row r="880" spans="1:1" x14ac:dyDescent="0.4">
      <c r="A880" s="21"/>
    </row>
    <row r="881" spans="1:1" x14ac:dyDescent="0.4">
      <c r="A881" s="21"/>
    </row>
    <row r="882" spans="1:1" x14ac:dyDescent="0.4">
      <c r="A882" s="21"/>
    </row>
    <row r="883" spans="1:1" x14ac:dyDescent="0.4">
      <c r="A883" s="21"/>
    </row>
    <row r="884" spans="1:1" x14ac:dyDescent="0.4">
      <c r="A884" s="21"/>
    </row>
    <row r="885" spans="1:1" x14ac:dyDescent="0.4">
      <c r="A885" s="21"/>
    </row>
    <row r="886" spans="1:1" x14ac:dyDescent="0.4">
      <c r="A886" s="21"/>
    </row>
    <row r="887" spans="1:1" x14ac:dyDescent="0.4">
      <c r="A887" s="21"/>
    </row>
    <row r="888" spans="1:1" x14ac:dyDescent="0.4">
      <c r="A888" s="21"/>
    </row>
    <row r="889" spans="1:1" x14ac:dyDescent="0.4">
      <c r="A889" s="21"/>
    </row>
    <row r="890" spans="1:1" x14ac:dyDescent="0.4">
      <c r="A890" s="21"/>
    </row>
    <row r="891" spans="1:1" x14ac:dyDescent="0.4">
      <c r="A891" s="21"/>
    </row>
    <row r="892" spans="1:1" x14ac:dyDescent="0.4">
      <c r="A892" s="21"/>
    </row>
    <row r="893" spans="1:1" x14ac:dyDescent="0.4">
      <c r="A893" s="21"/>
    </row>
    <row r="894" spans="1:1" x14ac:dyDescent="0.4">
      <c r="A894" s="21"/>
    </row>
    <row r="895" spans="1:1" x14ac:dyDescent="0.4">
      <c r="A895" s="21"/>
    </row>
    <row r="896" spans="1:1" x14ac:dyDescent="0.4">
      <c r="A896" s="21"/>
    </row>
    <row r="897" spans="1:1" x14ac:dyDescent="0.4">
      <c r="A897" s="21"/>
    </row>
    <row r="898" spans="1:1" x14ac:dyDescent="0.4">
      <c r="A898" s="21"/>
    </row>
    <row r="899" spans="1:1" x14ac:dyDescent="0.4">
      <c r="A899" s="21"/>
    </row>
    <row r="900" spans="1:1" x14ac:dyDescent="0.4">
      <c r="A900" s="21"/>
    </row>
    <row r="901" spans="1:1" x14ac:dyDescent="0.4">
      <c r="A901" s="21"/>
    </row>
    <row r="902" spans="1:1" x14ac:dyDescent="0.4">
      <c r="A902" s="21"/>
    </row>
    <row r="903" spans="1:1" x14ac:dyDescent="0.4">
      <c r="A903" s="21"/>
    </row>
    <row r="904" spans="1:1" x14ac:dyDescent="0.4">
      <c r="A904" s="21"/>
    </row>
    <row r="905" spans="1:1" x14ac:dyDescent="0.4">
      <c r="A905" s="21"/>
    </row>
    <row r="906" spans="1:1" x14ac:dyDescent="0.4">
      <c r="A906" s="21"/>
    </row>
    <row r="907" spans="1:1" x14ac:dyDescent="0.4">
      <c r="A907" s="21"/>
    </row>
    <row r="908" spans="1:1" x14ac:dyDescent="0.4">
      <c r="A908" s="21"/>
    </row>
    <row r="909" spans="1:1" x14ac:dyDescent="0.4">
      <c r="A909" s="21"/>
    </row>
    <row r="910" spans="1:1" x14ac:dyDescent="0.4">
      <c r="A910" s="21"/>
    </row>
    <row r="911" spans="1:1" x14ac:dyDescent="0.4">
      <c r="A911" s="21"/>
    </row>
    <row r="912" spans="1:1" x14ac:dyDescent="0.4">
      <c r="A912" s="21"/>
    </row>
    <row r="913" spans="1:1" x14ac:dyDescent="0.4">
      <c r="A913" s="21"/>
    </row>
    <row r="914" spans="1:1" x14ac:dyDescent="0.4">
      <c r="A914" s="21"/>
    </row>
    <row r="915" spans="1:1" x14ac:dyDescent="0.4">
      <c r="A915" s="21"/>
    </row>
    <row r="916" spans="1:1" x14ac:dyDescent="0.4">
      <c r="A916" s="21"/>
    </row>
    <row r="917" spans="1:1" x14ac:dyDescent="0.4">
      <c r="A917" s="21"/>
    </row>
    <row r="918" spans="1:1" x14ac:dyDescent="0.4">
      <c r="A918" s="21"/>
    </row>
    <row r="919" spans="1:1" x14ac:dyDescent="0.4">
      <c r="A919" s="21"/>
    </row>
    <row r="920" spans="1:1" x14ac:dyDescent="0.4">
      <c r="A920" s="21"/>
    </row>
    <row r="921" spans="1:1" x14ac:dyDescent="0.4">
      <c r="A921" s="21"/>
    </row>
    <row r="922" spans="1:1" x14ac:dyDescent="0.4">
      <c r="A922" s="21"/>
    </row>
    <row r="923" spans="1:1" x14ac:dyDescent="0.4">
      <c r="A923" s="21"/>
    </row>
    <row r="924" spans="1:1" x14ac:dyDescent="0.4">
      <c r="A924" s="21"/>
    </row>
    <row r="925" spans="1:1" x14ac:dyDescent="0.4">
      <c r="A925" s="21"/>
    </row>
    <row r="926" spans="1:1" x14ac:dyDescent="0.4">
      <c r="A926" s="21"/>
    </row>
    <row r="927" spans="1:1" x14ac:dyDescent="0.4">
      <c r="A927" s="21"/>
    </row>
    <row r="928" spans="1:1" x14ac:dyDescent="0.4">
      <c r="A928" s="21"/>
    </row>
    <row r="929" spans="1:1" x14ac:dyDescent="0.4">
      <c r="A929" s="21"/>
    </row>
    <row r="930" spans="1:1" x14ac:dyDescent="0.4">
      <c r="A930" s="21"/>
    </row>
    <row r="931" spans="1:1" x14ac:dyDescent="0.4">
      <c r="A931" s="21"/>
    </row>
    <row r="932" spans="1:1" x14ac:dyDescent="0.4">
      <c r="A932" s="21"/>
    </row>
    <row r="933" spans="1:1" x14ac:dyDescent="0.4">
      <c r="A933" s="21"/>
    </row>
    <row r="934" spans="1:1" x14ac:dyDescent="0.4">
      <c r="A934" s="21"/>
    </row>
    <row r="935" spans="1:1" x14ac:dyDescent="0.4">
      <c r="A935" s="21"/>
    </row>
    <row r="936" spans="1:1" x14ac:dyDescent="0.4">
      <c r="A936" s="21"/>
    </row>
    <row r="937" spans="1:1" x14ac:dyDescent="0.4">
      <c r="A937" s="21"/>
    </row>
    <row r="938" spans="1:1" x14ac:dyDescent="0.4">
      <c r="A938" s="21"/>
    </row>
    <row r="939" spans="1:1" x14ac:dyDescent="0.4">
      <c r="A939" s="21"/>
    </row>
    <row r="940" spans="1:1" x14ac:dyDescent="0.4">
      <c r="A940" s="21"/>
    </row>
    <row r="941" spans="1:1" x14ac:dyDescent="0.4">
      <c r="A941" s="21"/>
    </row>
    <row r="942" spans="1:1" x14ac:dyDescent="0.4">
      <c r="A942" s="21"/>
    </row>
    <row r="943" spans="1:1" x14ac:dyDescent="0.4">
      <c r="A943" s="21"/>
    </row>
    <row r="944" spans="1:1" x14ac:dyDescent="0.4">
      <c r="A944" s="21"/>
    </row>
    <row r="945" spans="1:1" x14ac:dyDescent="0.4">
      <c r="A945" s="21"/>
    </row>
    <row r="946" spans="1:1" x14ac:dyDescent="0.4">
      <c r="A946" s="21"/>
    </row>
    <row r="947" spans="1:1" x14ac:dyDescent="0.4">
      <c r="A947" s="21"/>
    </row>
    <row r="948" spans="1:1" x14ac:dyDescent="0.4">
      <c r="A948" s="21"/>
    </row>
    <row r="949" spans="1:1" x14ac:dyDescent="0.4">
      <c r="A949" s="21"/>
    </row>
    <row r="950" spans="1:1" x14ac:dyDescent="0.4">
      <c r="A950" s="21"/>
    </row>
    <row r="951" spans="1:1" x14ac:dyDescent="0.4">
      <c r="A951" s="21"/>
    </row>
    <row r="952" spans="1:1" x14ac:dyDescent="0.4">
      <c r="A952" s="21"/>
    </row>
    <row r="953" spans="1:1" x14ac:dyDescent="0.4">
      <c r="A953" s="21"/>
    </row>
    <row r="954" spans="1:1" x14ac:dyDescent="0.4">
      <c r="A954" s="21"/>
    </row>
    <row r="955" spans="1:1" x14ac:dyDescent="0.4">
      <c r="A955" s="21"/>
    </row>
    <row r="956" spans="1:1" x14ac:dyDescent="0.4">
      <c r="A956" s="21"/>
    </row>
    <row r="957" spans="1:1" x14ac:dyDescent="0.4">
      <c r="A957" s="21"/>
    </row>
    <row r="958" spans="1:1" x14ac:dyDescent="0.4">
      <c r="A958" s="21"/>
    </row>
    <row r="959" spans="1:1" x14ac:dyDescent="0.4">
      <c r="A959" s="21"/>
    </row>
    <row r="960" spans="1:1" x14ac:dyDescent="0.4">
      <c r="A960" s="21"/>
    </row>
    <row r="961" spans="1:1" x14ac:dyDescent="0.4">
      <c r="A961" s="21"/>
    </row>
    <row r="962" spans="1:1" x14ac:dyDescent="0.4">
      <c r="A962" s="21"/>
    </row>
    <row r="963" spans="1:1" x14ac:dyDescent="0.4">
      <c r="A963" s="21"/>
    </row>
    <row r="964" spans="1:1" x14ac:dyDescent="0.4">
      <c r="A964" s="21"/>
    </row>
    <row r="965" spans="1:1" x14ac:dyDescent="0.4">
      <c r="A965" s="21"/>
    </row>
    <row r="966" spans="1:1" x14ac:dyDescent="0.4">
      <c r="A966" s="21"/>
    </row>
    <row r="967" spans="1:1" x14ac:dyDescent="0.4">
      <c r="A967" s="21"/>
    </row>
    <row r="968" spans="1:1" x14ac:dyDescent="0.4">
      <c r="A968" s="21"/>
    </row>
    <row r="969" spans="1:1" x14ac:dyDescent="0.4">
      <c r="A969" s="21"/>
    </row>
    <row r="970" spans="1:1" x14ac:dyDescent="0.4">
      <c r="A970" s="21"/>
    </row>
    <row r="971" spans="1:1" x14ac:dyDescent="0.4">
      <c r="A971" s="21"/>
    </row>
    <row r="972" spans="1:1" x14ac:dyDescent="0.4">
      <c r="A972" s="21"/>
    </row>
    <row r="973" spans="1:1" x14ac:dyDescent="0.4">
      <c r="A973" s="21"/>
    </row>
    <row r="974" spans="1:1" x14ac:dyDescent="0.4">
      <c r="A974" s="21"/>
    </row>
    <row r="975" spans="1:1" x14ac:dyDescent="0.4">
      <c r="A975" s="21"/>
    </row>
    <row r="976" spans="1:1" x14ac:dyDescent="0.4">
      <c r="A976" s="21"/>
    </row>
    <row r="977" spans="1:1" x14ac:dyDescent="0.4">
      <c r="A977" s="21"/>
    </row>
    <row r="978" spans="1:1" x14ac:dyDescent="0.4">
      <c r="A978" s="21"/>
    </row>
    <row r="979" spans="1:1" x14ac:dyDescent="0.4">
      <c r="A979" s="21"/>
    </row>
    <row r="980" spans="1:1" x14ac:dyDescent="0.4">
      <c r="A980" s="21"/>
    </row>
    <row r="981" spans="1:1" x14ac:dyDescent="0.4">
      <c r="A981" s="21"/>
    </row>
    <row r="982" spans="1:1" x14ac:dyDescent="0.4">
      <c r="A982" s="21"/>
    </row>
    <row r="983" spans="1:1" x14ac:dyDescent="0.4">
      <c r="A983" s="21"/>
    </row>
    <row r="984" spans="1:1" x14ac:dyDescent="0.4">
      <c r="A984" s="21"/>
    </row>
    <row r="985" spans="1:1" x14ac:dyDescent="0.4">
      <c r="A985" s="21"/>
    </row>
    <row r="986" spans="1:1" x14ac:dyDescent="0.4">
      <c r="A986" s="21"/>
    </row>
    <row r="987" spans="1:1" x14ac:dyDescent="0.4">
      <c r="A987" s="21"/>
    </row>
    <row r="988" spans="1:1" x14ac:dyDescent="0.4">
      <c r="A988" s="21"/>
    </row>
    <row r="989" spans="1:1" x14ac:dyDescent="0.4">
      <c r="A989" s="21"/>
    </row>
    <row r="990" spans="1:1" x14ac:dyDescent="0.4">
      <c r="A990" s="21"/>
    </row>
    <row r="991" spans="1:1" x14ac:dyDescent="0.4">
      <c r="A991" s="21"/>
    </row>
    <row r="992" spans="1:1" x14ac:dyDescent="0.4">
      <c r="A992" s="21"/>
    </row>
    <row r="993" spans="1:1" x14ac:dyDescent="0.4">
      <c r="A993" s="21"/>
    </row>
    <row r="994" spans="1:1" x14ac:dyDescent="0.4">
      <c r="A994" s="21"/>
    </row>
    <row r="995" spans="1:1" x14ac:dyDescent="0.4">
      <c r="A995" s="21"/>
    </row>
    <row r="996" spans="1:1" x14ac:dyDescent="0.4">
      <c r="A996" s="21"/>
    </row>
    <row r="997" spans="1:1" x14ac:dyDescent="0.4">
      <c r="A997" s="21"/>
    </row>
    <row r="998" spans="1:1" x14ac:dyDescent="0.4">
      <c r="A998" s="21"/>
    </row>
    <row r="999" spans="1:1" x14ac:dyDescent="0.4">
      <c r="A999" s="21"/>
    </row>
    <row r="1000" spans="1:1" x14ac:dyDescent="0.4">
      <c r="A1000" s="21"/>
    </row>
    <row r="1001" spans="1:1" x14ac:dyDescent="0.4">
      <c r="A1001" s="21"/>
    </row>
    <row r="1002" spans="1:1" x14ac:dyDescent="0.4">
      <c r="A1002" s="21"/>
    </row>
    <row r="1003" spans="1:1" x14ac:dyDescent="0.4">
      <c r="A1003" s="21"/>
    </row>
    <row r="1004" spans="1:1" x14ac:dyDescent="0.4">
      <c r="A1004" s="21"/>
    </row>
    <row r="1005" spans="1:1" x14ac:dyDescent="0.4">
      <c r="A1005" s="21"/>
    </row>
    <row r="1006" spans="1:1" x14ac:dyDescent="0.4">
      <c r="A1006" s="21"/>
    </row>
    <row r="1007" spans="1:1" x14ac:dyDescent="0.4">
      <c r="A1007" s="21"/>
    </row>
    <row r="1008" spans="1:1" x14ac:dyDescent="0.4">
      <c r="A1008" s="21"/>
    </row>
    <row r="1009" spans="1:1" x14ac:dyDescent="0.4">
      <c r="A1009" s="21"/>
    </row>
    <row r="1010" spans="1:1" x14ac:dyDescent="0.4">
      <c r="A1010" s="21"/>
    </row>
    <row r="1011" spans="1:1" x14ac:dyDescent="0.4">
      <c r="A1011" s="21"/>
    </row>
    <row r="1012" spans="1:1" x14ac:dyDescent="0.4">
      <c r="A1012" s="21"/>
    </row>
    <row r="1013" spans="1:1" x14ac:dyDescent="0.4">
      <c r="A1013" s="21"/>
    </row>
    <row r="1014" spans="1:1" x14ac:dyDescent="0.4">
      <c r="A1014" s="21"/>
    </row>
    <row r="1015" spans="1:1" x14ac:dyDescent="0.4">
      <c r="A1015" s="21"/>
    </row>
    <row r="1016" spans="1:1" x14ac:dyDescent="0.4">
      <c r="A1016" s="21"/>
    </row>
    <row r="1017" spans="1:1" x14ac:dyDescent="0.4">
      <c r="A1017" s="21"/>
    </row>
    <row r="1018" spans="1:1" x14ac:dyDescent="0.4">
      <c r="A1018" s="21"/>
    </row>
    <row r="1019" spans="1:1" x14ac:dyDescent="0.4">
      <c r="A1019" s="21"/>
    </row>
    <row r="1020" spans="1:1" x14ac:dyDescent="0.4">
      <c r="A1020" s="21"/>
    </row>
    <row r="1021" spans="1:1" x14ac:dyDescent="0.4">
      <c r="A1021" s="21"/>
    </row>
    <row r="1022" spans="1:1" x14ac:dyDescent="0.4">
      <c r="A1022" s="21"/>
    </row>
    <row r="1023" spans="1:1" x14ac:dyDescent="0.4">
      <c r="A1023" s="21"/>
    </row>
    <row r="1024" spans="1:1" x14ac:dyDescent="0.4">
      <c r="A1024" s="21"/>
    </row>
    <row r="1025" spans="1:1" x14ac:dyDescent="0.4">
      <c r="A1025" s="21"/>
    </row>
    <row r="1026" spans="1:1" x14ac:dyDescent="0.4">
      <c r="A1026" s="21"/>
    </row>
    <row r="1027" spans="1:1" x14ac:dyDescent="0.4">
      <c r="A1027" s="21"/>
    </row>
    <row r="1028" spans="1:1" x14ac:dyDescent="0.4">
      <c r="A1028" s="21"/>
    </row>
    <row r="1029" spans="1:1" x14ac:dyDescent="0.4">
      <c r="A1029" s="21"/>
    </row>
    <row r="1030" spans="1:1" x14ac:dyDescent="0.4">
      <c r="A1030" s="21"/>
    </row>
    <row r="1031" spans="1:1" x14ac:dyDescent="0.4">
      <c r="A1031" s="21"/>
    </row>
    <row r="1032" spans="1:1" x14ac:dyDescent="0.4">
      <c r="A1032" s="21"/>
    </row>
    <row r="1033" spans="1:1" x14ac:dyDescent="0.4">
      <c r="A1033" s="21"/>
    </row>
    <row r="1034" spans="1:1" x14ac:dyDescent="0.4">
      <c r="A1034" s="21"/>
    </row>
    <row r="1035" spans="1:1" x14ac:dyDescent="0.4">
      <c r="A1035" s="21"/>
    </row>
    <row r="1036" spans="1:1" x14ac:dyDescent="0.4">
      <c r="A1036" s="21"/>
    </row>
    <row r="1037" spans="1:1" x14ac:dyDescent="0.4">
      <c r="A1037" s="21"/>
    </row>
    <row r="1038" spans="1:1" x14ac:dyDescent="0.4">
      <c r="A1038" s="21"/>
    </row>
    <row r="1039" spans="1:1" x14ac:dyDescent="0.4">
      <c r="A1039" s="21"/>
    </row>
    <row r="1040" spans="1:1" x14ac:dyDescent="0.4">
      <c r="A1040" s="21"/>
    </row>
    <row r="1041" spans="1:1" x14ac:dyDescent="0.4">
      <c r="A1041" s="21"/>
    </row>
    <row r="1042" spans="1:1" x14ac:dyDescent="0.4">
      <c r="A1042" s="21"/>
    </row>
    <row r="1043" spans="1:1" x14ac:dyDescent="0.4">
      <c r="A1043" s="21"/>
    </row>
    <row r="1044" spans="1:1" x14ac:dyDescent="0.4">
      <c r="A1044" s="21"/>
    </row>
    <row r="1045" spans="1:1" x14ac:dyDescent="0.4">
      <c r="A1045" s="21"/>
    </row>
    <row r="1046" spans="1:1" x14ac:dyDescent="0.4">
      <c r="A1046" s="21"/>
    </row>
    <row r="1047" spans="1:1" x14ac:dyDescent="0.4">
      <c r="A1047" s="21"/>
    </row>
    <row r="1048" spans="1:1" x14ac:dyDescent="0.4">
      <c r="A1048" s="21"/>
    </row>
    <row r="1049" spans="1:1" x14ac:dyDescent="0.4">
      <c r="A1049" s="21"/>
    </row>
    <row r="1050" spans="1:1" x14ac:dyDescent="0.4">
      <c r="A1050" s="21"/>
    </row>
    <row r="1051" spans="1:1" x14ac:dyDescent="0.4">
      <c r="A1051" s="21"/>
    </row>
    <row r="1052" spans="1:1" x14ac:dyDescent="0.4">
      <c r="A1052" s="21"/>
    </row>
    <row r="1053" spans="1:1" x14ac:dyDescent="0.4">
      <c r="A1053" s="21"/>
    </row>
    <row r="1054" spans="1:1" x14ac:dyDescent="0.4">
      <c r="A1054" s="21"/>
    </row>
    <row r="1055" spans="1:1" x14ac:dyDescent="0.4">
      <c r="A1055" s="21"/>
    </row>
    <row r="1056" spans="1:1" x14ac:dyDescent="0.4">
      <c r="A1056" s="21"/>
    </row>
    <row r="1057" spans="1:1" x14ac:dyDescent="0.4">
      <c r="A1057" s="21"/>
    </row>
    <row r="1058" spans="1:1" x14ac:dyDescent="0.4">
      <c r="A1058" s="21"/>
    </row>
    <row r="1059" spans="1:1" x14ac:dyDescent="0.4">
      <c r="A1059" s="21"/>
    </row>
    <row r="1060" spans="1:1" x14ac:dyDescent="0.4">
      <c r="A1060" s="21"/>
    </row>
    <row r="1061" spans="1:1" x14ac:dyDescent="0.4">
      <c r="A1061" s="21"/>
    </row>
    <row r="1062" spans="1:1" x14ac:dyDescent="0.4">
      <c r="A1062" s="21"/>
    </row>
    <row r="1063" spans="1:1" x14ac:dyDescent="0.4">
      <c r="A1063" s="21"/>
    </row>
    <row r="1064" spans="1:1" x14ac:dyDescent="0.4">
      <c r="A1064" s="21"/>
    </row>
    <row r="1065" spans="1:1" x14ac:dyDescent="0.4">
      <c r="A1065" s="21"/>
    </row>
    <row r="1066" spans="1:1" x14ac:dyDescent="0.4">
      <c r="A1066" s="21"/>
    </row>
    <row r="1067" spans="1:1" x14ac:dyDescent="0.4">
      <c r="A1067" s="21"/>
    </row>
    <row r="1068" spans="1:1" x14ac:dyDescent="0.4">
      <c r="A1068" s="21"/>
    </row>
    <row r="1069" spans="1:1" x14ac:dyDescent="0.4">
      <c r="A1069" s="21"/>
    </row>
    <row r="1070" spans="1:1" x14ac:dyDescent="0.4">
      <c r="A1070" s="21"/>
    </row>
    <row r="1071" spans="1:1" x14ac:dyDescent="0.4">
      <c r="A1071" s="21"/>
    </row>
    <row r="1072" spans="1:1" x14ac:dyDescent="0.4">
      <c r="A1072" s="21"/>
    </row>
    <row r="1073" spans="1:1" x14ac:dyDescent="0.4">
      <c r="A1073" s="21"/>
    </row>
    <row r="1074" spans="1:1" x14ac:dyDescent="0.4">
      <c r="A1074" s="21"/>
    </row>
    <row r="1075" spans="1:1" x14ac:dyDescent="0.4">
      <c r="A1075" s="21"/>
    </row>
    <row r="1076" spans="1:1" x14ac:dyDescent="0.4">
      <c r="A1076" s="21"/>
    </row>
    <row r="1077" spans="1:1" x14ac:dyDescent="0.4">
      <c r="A1077" s="21"/>
    </row>
    <row r="1078" spans="1:1" x14ac:dyDescent="0.4">
      <c r="A1078" s="21"/>
    </row>
    <row r="1079" spans="1:1" x14ac:dyDescent="0.4">
      <c r="A1079" s="21"/>
    </row>
    <row r="1080" spans="1:1" x14ac:dyDescent="0.4">
      <c r="A1080" s="21"/>
    </row>
    <row r="1081" spans="1:1" x14ac:dyDescent="0.4">
      <c r="A1081" s="21"/>
    </row>
    <row r="1082" spans="1:1" x14ac:dyDescent="0.4">
      <c r="A1082" s="21"/>
    </row>
    <row r="1083" spans="1:1" x14ac:dyDescent="0.4">
      <c r="A1083" s="21"/>
    </row>
    <row r="1084" spans="1:1" x14ac:dyDescent="0.4">
      <c r="A1084" s="21"/>
    </row>
    <row r="1085" spans="1:1" x14ac:dyDescent="0.4">
      <c r="A1085" s="21"/>
    </row>
    <row r="1086" spans="1:1" x14ac:dyDescent="0.4">
      <c r="A1086" s="21"/>
    </row>
    <row r="1087" spans="1:1" x14ac:dyDescent="0.4">
      <c r="A1087" s="21"/>
    </row>
    <row r="1088" spans="1:1" x14ac:dyDescent="0.4">
      <c r="A1088" s="21"/>
    </row>
    <row r="1089" spans="1:1" x14ac:dyDescent="0.4">
      <c r="A1089" s="21"/>
    </row>
    <row r="1090" spans="1:1" x14ac:dyDescent="0.4">
      <c r="A1090" s="21"/>
    </row>
    <row r="1091" spans="1:1" x14ac:dyDescent="0.4">
      <c r="A1091" s="21"/>
    </row>
    <row r="1092" spans="1:1" x14ac:dyDescent="0.4">
      <c r="A1092" s="21"/>
    </row>
    <row r="1093" spans="1:1" x14ac:dyDescent="0.4">
      <c r="A1093" s="21"/>
    </row>
    <row r="1094" spans="1:1" x14ac:dyDescent="0.4">
      <c r="A1094" s="21"/>
    </row>
    <row r="1095" spans="1:1" x14ac:dyDescent="0.4">
      <c r="A1095" s="21"/>
    </row>
    <row r="1096" spans="1:1" x14ac:dyDescent="0.4">
      <c r="A1096" s="21"/>
    </row>
    <row r="1097" spans="1:1" x14ac:dyDescent="0.4">
      <c r="A1097" s="21"/>
    </row>
    <row r="1098" spans="1:1" x14ac:dyDescent="0.4">
      <c r="A1098" s="21"/>
    </row>
    <row r="1099" spans="1:1" x14ac:dyDescent="0.4">
      <c r="A1099" s="21"/>
    </row>
    <row r="1100" spans="1:1" x14ac:dyDescent="0.4">
      <c r="A1100" s="21"/>
    </row>
    <row r="1101" spans="1:1" x14ac:dyDescent="0.4">
      <c r="A1101" s="21"/>
    </row>
    <row r="1102" spans="1:1" x14ac:dyDescent="0.4">
      <c r="A1102" s="21"/>
    </row>
    <row r="1103" spans="1:1" x14ac:dyDescent="0.4">
      <c r="A1103" s="21"/>
    </row>
    <row r="1104" spans="1:1" x14ac:dyDescent="0.4">
      <c r="A1104" s="21"/>
    </row>
    <row r="1105" spans="1:1" x14ac:dyDescent="0.4">
      <c r="A1105" s="21"/>
    </row>
    <row r="1106" spans="1:1" x14ac:dyDescent="0.4">
      <c r="A1106" s="21"/>
    </row>
    <row r="1107" spans="1:1" x14ac:dyDescent="0.4">
      <c r="A1107" s="21"/>
    </row>
    <row r="1108" spans="1:1" x14ac:dyDescent="0.4">
      <c r="A1108" s="21"/>
    </row>
    <row r="1109" spans="1:1" x14ac:dyDescent="0.4">
      <c r="A1109" s="21"/>
    </row>
    <row r="1110" spans="1:1" x14ac:dyDescent="0.4">
      <c r="A1110" s="21"/>
    </row>
    <row r="1111" spans="1:1" x14ac:dyDescent="0.4">
      <c r="A1111" s="21"/>
    </row>
    <row r="1112" spans="1:1" x14ac:dyDescent="0.4">
      <c r="A1112" s="21"/>
    </row>
    <row r="1113" spans="1:1" x14ac:dyDescent="0.4">
      <c r="A1113" s="21"/>
    </row>
    <row r="1114" spans="1:1" x14ac:dyDescent="0.4">
      <c r="A1114" s="21"/>
    </row>
    <row r="1115" spans="1:1" x14ac:dyDescent="0.4">
      <c r="A1115" s="21"/>
    </row>
    <row r="1116" spans="1:1" x14ac:dyDescent="0.4">
      <c r="A1116" s="21"/>
    </row>
    <row r="1117" spans="1:1" x14ac:dyDescent="0.4">
      <c r="A1117" s="21"/>
    </row>
    <row r="1118" spans="1:1" x14ac:dyDescent="0.4">
      <c r="A1118" s="21"/>
    </row>
    <row r="1119" spans="1:1" x14ac:dyDescent="0.4">
      <c r="A1119" s="21"/>
    </row>
    <row r="1120" spans="1:1" x14ac:dyDescent="0.4">
      <c r="A1120" s="21"/>
    </row>
    <row r="1121" spans="1:1" x14ac:dyDescent="0.4">
      <c r="A1121" s="21"/>
    </row>
    <row r="1122" spans="1:1" x14ac:dyDescent="0.4">
      <c r="A1122" s="21"/>
    </row>
    <row r="1123" spans="1:1" x14ac:dyDescent="0.4">
      <c r="A1123" s="21"/>
    </row>
    <row r="1124" spans="1:1" x14ac:dyDescent="0.4">
      <c r="A1124" s="21"/>
    </row>
    <row r="1125" spans="1:1" x14ac:dyDescent="0.4">
      <c r="A1125" s="21"/>
    </row>
    <row r="1126" spans="1:1" x14ac:dyDescent="0.4">
      <c r="A1126" s="21"/>
    </row>
    <row r="1127" spans="1:1" x14ac:dyDescent="0.4">
      <c r="A1127" s="21"/>
    </row>
    <row r="1128" spans="1:1" x14ac:dyDescent="0.4">
      <c r="A1128" s="21"/>
    </row>
    <row r="1129" spans="1:1" x14ac:dyDescent="0.4">
      <c r="A1129" s="21"/>
    </row>
    <row r="1130" spans="1:1" x14ac:dyDescent="0.4">
      <c r="A1130" s="21"/>
    </row>
    <row r="1131" spans="1:1" x14ac:dyDescent="0.4">
      <c r="A1131" s="21"/>
    </row>
    <row r="1132" spans="1:1" x14ac:dyDescent="0.4">
      <c r="A1132" s="21"/>
    </row>
    <row r="1133" spans="1:1" x14ac:dyDescent="0.4">
      <c r="A1133" s="21"/>
    </row>
    <row r="1134" spans="1:1" x14ac:dyDescent="0.4">
      <c r="A1134" s="21"/>
    </row>
    <row r="1135" spans="1:1" x14ac:dyDescent="0.4">
      <c r="A1135" s="21"/>
    </row>
    <row r="1136" spans="1:1" x14ac:dyDescent="0.4">
      <c r="A1136" s="21"/>
    </row>
    <row r="1137" spans="1:1" x14ac:dyDescent="0.4">
      <c r="A1137" s="21"/>
    </row>
    <row r="1138" spans="1:1" x14ac:dyDescent="0.4">
      <c r="A1138" s="21"/>
    </row>
    <row r="1139" spans="1:1" x14ac:dyDescent="0.4">
      <c r="A1139" s="21"/>
    </row>
    <row r="1140" spans="1:1" x14ac:dyDescent="0.4">
      <c r="A1140" s="21"/>
    </row>
    <row r="1141" spans="1:1" x14ac:dyDescent="0.4">
      <c r="A1141" s="21"/>
    </row>
    <row r="1142" spans="1:1" x14ac:dyDescent="0.4">
      <c r="A1142" s="21"/>
    </row>
    <row r="1143" spans="1:1" x14ac:dyDescent="0.4">
      <c r="A1143" s="21"/>
    </row>
    <row r="1144" spans="1:1" x14ac:dyDescent="0.4">
      <c r="A1144" s="21"/>
    </row>
    <row r="1145" spans="1:1" x14ac:dyDescent="0.4">
      <c r="A1145" s="21"/>
    </row>
    <row r="1146" spans="1:1" x14ac:dyDescent="0.4">
      <c r="A1146" s="21"/>
    </row>
    <row r="1147" spans="1:1" x14ac:dyDescent="0.4">
      <c r="A1147" s="21"/>
    </row>
    <row r="1148" spans="1:1" x14ac:dyDescent="0.4">
      <c r="A1148" s="21"/>
    </row>
    <row r="1149" spans="1:1" x14ac:dyDescent="0.4">
      <c r="A1149" s="21"/>
    </row>
    <row r="1150" spans="1:1" x14ac:dyDescent="0.4">
      <c r="A1150" s="21"/>
    </row>
    <row r="1151" spans="1:1" x14ac:dyDescent="0.4">
      <c r="A1151" s="21"/>
    </row>
    <row r="1152" spans="1:1" x14ac:dyDescent="0.4">
      <c r="A1152" s="21"/>
    </row>
    <row r="1153" spans="1:1" x14ac:dyDescent="0.4">
      <c r="A1153" s="21"/>
    </row>
    <row r="1154" spans="1:1" x14ac:dyDescent="0.4">
      <c r="A1154" s="21"/>
    </row>
    <row r="1155" spans="1:1" x14ac:dyDescent="0.4">
      <c r="A1155" s="21"/>
    </row>
    <row r="1156" spans="1:1" x14ac:dyDescent="0.4">
      <c r="A1156" s="21"/>
    </row>
    <row r="1157" spans="1:1" x14ac:dyDescent="0.4">
      <c r="A1157" s="21"/>
    </row>
    <row r="1158" spans="1:1" x14ac:dyDescent="0.4">
      <c r="A1158" s="21"/>
    </row>
    <row r="1159" spans="1:1" x14ac:dyDescent="0.4">
      <c r="A1159" s="21"/>
    </row>
    <row r="1160" spans="1:1" x14ac:dyDescent="0.4">
      <c r="A1160" s="21"/>
    </row>
    <row r="1161" spans="1:1" x14ac:dyDescent="0.4">
      <c r="A1161" s="21"/>
    </row>
    <row r="1162" spans="1:1" x14ac:dyDescent="0.4">
      <c r="A1162" s="21"/>
    </row>
    <row r="1163" spans="1:1" x14ac:dyDescent="0.4">
      <c r="A1163" s="21"/>
    </row>
    <row r="1164" spans="1:1" x14ac:dyDescent="0.4">
      <c r="A1164" s="21"/>
    </row>
    <row r="1165" spans="1:1" x14ac:dyDescent="0.4">
      <c r="A1165" s="21"/>
    </row>
    <row r="1166" spans="1:1" x14ac:dyDescent="0.4">
      <c r="A1166" s="21"/>
    </row>
    <row r="1167" spans="1:1" x14ac:dyDescent="0.4">
      <c r="A1167" s="21"/>
    </row>
    <row r="1168" spans="1:1" x14ac:dyDescent="0.4">
      <c r="A1168" s="21"/>
    </row>
    <row r="1169" spans="1:1" x14ac:dyDescent="0.4">
      <c r="A1169" s="21"/>
    </row>
    <row r="1170" spans="1:1" x14ac:dyDescent="0.4">
      <c r="A1170" s="21"/>
    </row>
    <row r="1171" spans="1:1" x14ac:dyDescent="0.4">
      <c r="A1171" s="21"/>
    </row>
    <row r="1172" spans="1:1" x14ac:dyDescent="0.4">
      <c r="A1172" s="21"/>
    </row>
    <row r="1173" spans="1:1" x14ac:dyDescent="0.4">
      <c r="A1173" s="21"/>
    </row>
    <row r="1174" spans="1:1" x14ac:dyDescent="0.4">
      <c r="A1174" s="21"/>
    </row>
    <row r="1175" spans="1:1" x14ac:dyDescent="0.4">
      <c r="A1175" s="21"/>
    </row>
    <row r="1176" spans="1:1" x14ac:dyDescent="0.4">
      <c r="A1176" s="21"/>
    </row>
    <row r="1177" spans="1:1" x14ac:dyDescent="0.4">
      <c r="A1177" s="21"/>
    </row>
    <row r="1178" spans="1:1" x14ac:dyDescent="0.4">
      <c r="A1178" s="21"/>
    </row>
    <row r="1179" spans="1:1" x14ac:dyDescent="0.4">
      <c r="A1179" s="21"/>
    </row>
    <row r="1180" spans="1:1" x14ac:dyDescent="0.4">
      <c r="A1180" s="21"/>
    </row>
    <row r="1181" spans="1:1" x14ac:dyDescent="0.4">
      <c r="A1181" s="21"/>
    </row>
    <row r="1182" spans="1:1" x14ac:dyDescent="0.4">
      <c r="A1182" s="21"/>
    </row>
    <row r="1183" spans="1:1" x14ac:dyDescent="0.4">
      <c r="A1183" s="21"/>
    </row>
    <row r="1184" spans="1:1" x14ac:dyDescent="0.4">
      <c r="A1184" s="21"/>
    </row>
    <row r="1185" spans="1:1" x14ac:dyDescent="0.4">
      <c r="A1185" s="21"/>
    </row>
    <row r="1186" spans="1:1" x14ac:dyDescent="0.4">
      <c r="A1186" s="21"/>
    </row>
    <row r="1187" spans="1:1" x14ac:dyDescent="0.4">
      <c r="A1187" s="21"/>
    </row>
    <row r="1188" spans="1:1" x14ac:dyDescent="0.4">
      <c r="A1188" s="21"/>
    </row>
    <row r="1189" spans="1:1" x14ac:dyDescent="0.4">
      <c r="A1189" s="21"/>
    </row>
    <row r="1190" spans="1:1" x14ac:dyDescent="0.4">
      <c r="A1190" s="21"/>
    </row>
    <row r="1191" spans="1:1" x14ac:dyDescent="0.4">
      <c r="A1191" s="21"/>
    </row>
    <row r="1192" spans="1:1" x14ac:dyDescent="0.4">
      <c r="A1192" s="21"/>
    </row>
    <row r="1193" spans="1:1" x14ac:dyDescent="0.4">
      <c r="A1193" s="21"/>
    </row>
    <row r="1194" spans="1:1" x14ac:dyDescent="0.4">
      <c r="A1194" s="21"/>
    </row>
    <row r="1195" spans="1:1" x14ac:dyDescent="0.4">
      <c r="A1195" s="21"/>
    </row>
    <row r="1196" spans="1:1" x14ac:dyDescent="0.4">
      <c r="A1196" s="21"/>
    </row>
    <row r="1197" spans="1:1" x14ac:dyDescent="0.4">
      <c r="A1197" s="21"/>
    </row>
    <row r="1198" spans="1:1" x14ac:dyDescent="0.4">
      <c r="A1198" s="21"/>
    </row>
    <row r="1199" spans="1:1" x14ac:dyDescent="0.4">
      <c r="A1199" s="21"/>
    </row>
    <row r="1200" spans="1:1" x14ac:dyDescent="0.4">
      <c r="A1200" s="21"/>
    </row>
    <row r="1201" spans="1:1" x14ac:dyDescent="0.4">
      <c r="A1201" s="21"/>
    </row>
    <row r="1202" spans="1:1" x14ac:dyDescent="0.4">
      <c r="A1202" s="21"/>
    </row>
    <row r="1203" spans="1:1" x14ac:dyDescent="0.4">
      <c r="A1203" s="21"/>
    </row>
    <row r="1204" spans="1:1" x14ac:dyDescent="0.4">
      <c r="A1204" s="21"/>
    </row>
    <row r="1205" spans="1:1" x14ac:dyDescent="0.4">
      <c r="A1205" s="21"/>
    </row>
    <row r="1206" spans="1:1" x14ac:dyDescent="0.4">
      <c r="A1206" s="21"/>
    </row>
    <row r="1207" spans="1:1" x14ac:dyDescent="0.4">
      <c r="A1207" s="21"/>
    </row>
    <row r="1208" spans="1:1" x14ac:dyDescent="0.4">
      <c r="A1208" s="21"/>
    </row>
    <row r="1209" spans="1:1" x14ac:dyDescent="0.4">
      <c r="A1209" s="21"/>
    </row>
    <row r="1210" spans="1:1" x14ac:dyDescent="0.4">
      <c r="A1210" s="21"/>
    </row>
    <row r="1211" spans="1:1" x14ac:dyDescent="0.4">
      <c r="A1211" s="21"/>
    </row>
    <row r="1212" spans="1:1" x14ac:dyDescent="0.4">
      <c r="A1212" s="21"/>
    </row>
    <row r="1213" spans="1:1" x14ac:dyDescent="0.4">
      <c r="A1213" s="21"/>
    </row>
    <row r="1214" spans="1:1" x14ac:dyDescent="0.4">
      <c r="A1214" s="21"/>
    </row>
    <row r="1215" spans="1:1" x14ac:dyDescent="0.4">
      <c r="A1215" s="21"/>
    </row>
    <row r="1216" spans="1:1" x14ac:dyDescent="0.4">
      <c r="A1216" s="21"/>
    </row>
    <row r="1217" spans="1:1" x14ac:dyDescent="0.4">
      <c r="A1217" s="21"/>
    </row>
    <row r="1218" spans="1:1" x14ac:dyDescent="0.4">
      <c r="A1218" s="21"/>
    </row>
    <row r="1219" spans="1:1" x14ac:dyDescent="0.4">
      <c r="A1219" s="21"/>
    </row>
    <row r="1220" spans="1:1" x14ac:dyDescent="0.4">
      <c r="A1220" s="21"/>
    </row>
    <row r="1221" spans="1:1" x14ac:dyDescent="0.4">
      <c r="A1221" s="21"/>
    </row>
    <row r="1222" spans="1:1" x14ac:dyDescent="0.4">
      <c r="A1222" s="21"/>
    </row>
    <row r="1223" spans="1:1" x14ac:dyDescent="0.4">
      <c r="A1223" s="21"/>
    </row>
    <row r="1224" spans="1:1" x14ac:dyDescent="0.4">
      <c r="A1224" s="21"/>
    </row>
    <row r="1225" spans="1:1" x14ac:dyDescent="0.4">
      <c r="A1225" s="21"/>
    </row>
    <row r="1226" spans="1:1" x14ac:dyDescent="0.4">
      <c r="A1226" s="21"/>
    </row>
    <row r="1227" spans="1:1" x14ac:dyDescent="0.4">
      <c r="A1227" s="21"/>
    </row>
    <row r="1228" spans="1:1" x14ac:dyDescent="0.4">
      <c r="A1228" s="21"/>
    </row>
    <row r="1229" spans="1:1" x14ac:dyDescent="0.4">
      <c r="A1229" s="21"/>
    </row>
    <row r="1230" spans="1:1" x14ac:dyDescent="0.4">
      <c r="A1230" s="21"/>
    </row>
    <row r="1231" spans="1:1" x14ac:dyDescent="0.4">
      <c r="A1231" s="21"/>
    </row>
    <row r="1232" spans="1:1" x14ac:dyDescent="0.4">
      <c r="A1232" s="21"/>
    </row>
    <row r="1233" spans="1:1" x14ac:dyDescent="0.4">
      <c r="A1233" s="21"/>
    </row>
    <row r="1234" spans="1:1" x14ac:dyDescent="0.4">
      <c r="A1234" s="21"/>
    </row>
    <row r="1235" spans="1:1" x14ac:dyDescent="0.4">
      <c r="A1235" s="21"/>
    </row>
    <row r="1236" spans="1:1" x14ac:dyDescent="0.4">
      <c r="A1236" s="21"/>
    </row>
    <row r="1237" spans="1:1" x14ac:dyDescent="0.4">
      <c r="A1237" s="21"/>
    </row>
    <row r="1238" spans="1:1" x14ac:dyDescent="0.4">
      <c r="A1238" s="21"/>
    </row>
    <row r="1239" spans="1:1" x14ac:dyDescent="0.4">
      <c r="A1239" s="21"/>
    </row>
    <row r="1240" spans="1:1" x14ac:dyDescent="0.4">
      <c r="A1240" s="21"/>
    </row>
    <row r="1241" spans="1:1" x14ac:dyDescent="0.4">
      <c r="A1241" s="21"/>
    </row>
    <row r="1242" spans="1:1" x14ac:dyDescent="0.4">
      <c r="A1242" s="21"/>
    </row>
    <row r="1243" spans="1:1" x14ac:dyDescent="0.4">
      <c r="A1243" s="21"/>
    </row>
    <row r="1244" spans="1:1" x14ac:dyDescent="0.4">
      <c r="A1244" s="21"/>
    </row>
    <row r="1245" spans="1:1" x14ac:dyDescent="0.4">
      <c r="A1245" s="21"/>
    </row>
    <row r="1246" spans="1:1" x14ac:dyDescent="0.4">
      <c r="A1246" s="21"/>
    </row>
    <row r="1247" spans="1:1" x14ac:dyDescent="0.4">
      <c r="A1247" s="21"/>
    </row>
    <row r="1248" spans="1:1" x14ac:dyDescent="0.4">
      <c r="A1248" s="21"/>
    </row>
    <row r="1249" spans="1:1" x14ac:dyDescent="0.4">
      <c r="A1249" s="21"/>
    </row>
    <row r="1250" spans="1:1" x14ac:dyDescent="0.4">
      <c r="A1250" s="21"/>
    </row>
    <row r="1251" spans="1:1" x14ac:dyDescent="0.4">
      <c r="A1251" s="21"/>
    </row>
    <row r="1252" spans="1:1" x14ac:dyDescent="0.4">
      <c r="A1252" s="21"/>
    </row>
    <row r="1253" spans="1:1" x14ac:dyDescent="0.4">
      <c r="A1253" s="21"/>
    </row>
    <row r="1254" spans="1:1" x14ac:dyDescent="0.4">
      <c r="A1254" s="21"/>
    </row>
    <row r="1255" spans="1:1" x14ac:dyDescent="0.4">
      <c r="A1255" s="21"/>
    </row>
    <row r="1256" spans="1:1" x14ac:dyDescent="0.4">
      <c r="A1256" s="21"/>
    </row>
    <row r="1257" spans="1:1" x14ac:dyDescent="0.4">
      <c r="A1257" s="21"/>
    </row>
    <row r="1258" spans="1:1" x14ac:dyDescent="0.4">
      <c r="A1258" s="21"/>
    </row>
    <row r="1259" spans="1:1" x14ac:dyDescent="0.4">
      <c r="A1259" s="21"/>
    </row>
    <row r="1260" spans="1:1" x14ac:dyDescent="0.4">
      <c r="A1260" s="21"/>
    </row>
    <row r="1261" spans="1:1" x14ac:dyDescent="0.4">
      <c r="A1261" s="21"/>
    </row>
    <row r="1262" spans="1:1" x14ac:dyDescent="0.4">
      <c r="A1262" s="21"/>
    </row>
    <row r="1263" spans="1:1" x14ac:dyDescent="0.4">
      <c r="A1263" s="21"/>
    </row>
    <row r="1264" spans="1:1" x14ac:dyDescent="0.4">
      <c r="A1264" s="21"/>
    </row>
    <row r="1265" spans="1:1" x14ac:dyDescent="0.4">
      <c r="A1265" s="21"/>
    </row>
    <row r="1266" spans="1:1" x14ac:dyDescent="0.4">
      <c r="A1266" s="21"/>
    </row>
    <row r="1267" spans="1:1" x14ac:dyDescent="0.4">
      <c r="A1267" s="21"/>
    </row>
    <row r="1268" spans="1:1" x14ac:dyDescent="0.4">
      <c r="A1268" s="21"/>
    </row>
    <row r="1269" spans="1:1" x14ac:dyDescent="0.4">
      <c r="A1269" s="21"/>
    </row>
    <row r="1270" spans="1:1" x14ac:dyDescent="0.4">
      <c r="A1270" s="21"/>
    </row>
    <row r="1271" spans="1:1" x14ac:dyDescent="0.4">
      <c r="A1271" s="21"/>
    </row>
    <row r="1272" spans="1:1" x14ac:dyDescent="0.4">
      <c r="A1272" s="21"/>
    </row>
    <row r="1273" spans="1:1" x14ac:dyDescent="0.4">
      <c r="A1273" s="21"/>
    </row>
    <row r="1274" spans="1:1" x14ac:dyDescent="0.4">
      <c r="A1274" s="21"/>
    </row>
    <row r="1275" spans="1:1" x14ac:dyDescent="0.4">
      <c r="A1275" s="21"/>
    </row>
    <row r="1276" spans="1:1" x14ac:dyDescent="0.4">
      <c r="A1276" s="21"/>
    </row>
    <row r="1277" spans="1:1" x14ac:dyDescent="0.4">
      <c r="A1277" s="21"/>
    </row>
    <row r="1278" spans="1:1" x14ac:dyDescent="0.4">
      <c r="A1278" s="21"/>
    </row>
    <row r="1279" spans="1:1" x14ac:dyDescent="0.4">
      <c r="A1279" s="21"/>
    </row>
    <row r="1280" spans="1:1" x14ac:dyDescent="0.4">
      <c r="A1280" s="21"/>
    </row>
    <row r="1281" spans="1:1" x14ac:dyDescent="0.4">
      <c r="A1281" s="21"/>
    </row>
    <row r="1282" spans="1:1" x14ac:dyDescent="0.4">
      <c r="A1282" s="21"/>
    </row>
    <row r="1283" spans="1:1" x14ac:dyDescent="0.4">
      <c r="A1283" s="21"/>
    </row>
    <row r="1284" spans="1:1" x14ac:dyDescent="0.4">
      <c r="A1284" s="21"/>
    </row>
    <row r="1285" spans="1:1" x14ac:dyDescent="0.4">
      <c r="A1285" s="21"/>
    </row>
    <row r="1286" spans="1:1" x14ac:dyDescent="0.4">
      <c r="A1286" s="21"/>
    </row>
    <row r="1287" spans="1:1" x14ac:dyDescent="0.4">
      <c r="A1287" s="21"/>
    </row>
    <row r="1288" spans="1:1" x14ac:dyDescent="0.4">
      <c r="A1288" s="21"/>
    </row>
    <row r="1289" spans="1:1" x14ac:dyDescent="0.4">
      <c r="A1289" s="21"/>
    </row>
    <row r="1290" spans="1:1" x14ac:dyDescent="0.4">
      <c r="A1290" s="21"/>
    </row>
    <row r="1291" spans="1:1" x14ac:dyDescent="0.4">
      <c r="A1291" s="21"/>
    </row>
    <row r="1292" spans="1:1" x14ac:dyDescent="0.4">
      <c r="A1292" s="21"/>
    </row>
    <row r="1293" spans="1:1" x14ac:dyDescent="0.4">
      <c r="A1293" s="21"/>
    </row>
    <row r="1294" spans="1:1" x14ac:dyDescent="0.4">
      <c r="A1294" s="21"/>
    </row>
    <row r="1295" spans="1:1" x14ac:dyDescent="0.4">
      <c r="A1295" s="21"/>
    </row>
    <row r="1296" spans="1:1" x14ac:dyDescent="0.4">
      <c r="A1296" s="21"/>
    </row>
    <row r="1297" spans="1:1" x14ac:dyDescent="0.4">
      <c r="A1297" s="21"/>
    </row>
    <row r="1298" spans="1:1" x14ac:dyDescent="0.4">
      <c r="A1298" s="21"/>
    </row>
    <row r="1299" spans="1:1" x14ac:dyDescent="0.4">
      <c r="A1299" s="21"/>
    </row>
    <row r="1300" spans="1:1" x14ac:dyDescent="0.4">
      <c r="A1300" s="21"/>
    </row>
    <row r="1301" spans="1:1" x14ac:dyDescent="0.4">
      <c r="A1301" s="21"/>
    </row>
    <row r="1302" spans="1:1" x14ac:dyDescent="0.4">
      <c r="A1302" s="21"/>
    </row>
    <row r="1303" spans="1:1" x14ac:dyDescent="0.4">
      <c r="A1303" s="21"/>
    </row>
    <row r="1304" spans="1:1" x14ac:dyDescent="0.4">
      <c r="A1304" s="21"/>
    </row>
    <row r="1305" spans="1:1" x14ac:dyDescent="0.4">
      <c r="A1305" s="21"/>
    </row>
    <row r="1306" spans="1:1" x14ac:dyDescent="0.4">
      <c r="A1306" s="21"/>
    </row>
    <row r="1307" spans="1:1" x14ac:dyDescent="0.4">
      <c r="A1307" s="21"/>
    </row>
    <row r="1308" spans="1:1" x14ac:dyDescent="0.4">
      <c r="A1308" s="21"/>
    </row>
    <row r="1309" spans="1:1" x14ac:dyDescent="0.4">
      <c r="A1309" s="21"/>
    </row>
    <row r="1310" spans="1:1" x14ac:dyDescent="0.4">
      <c r="A1310" s="21"/>
    </row>
    <row r="1311" spans="1:1" x14ac:dyDescent="0.4">
      <c r="A1311" s="21"/>
    </row>
    <row r="1312" spans="1:1" x14ac:dyDescent="0.4">
      <c r="A1312" s="21"/>
    </row>
    <row r="1313" spans="1:1" x14ac:dyDescent="0.4">
      <c r="A1313" s="21"/>
    </row>
    <row r="1314" spans="1:1" x14ac:dyDescent="0.4">
      <c r="A1314" s="21"/>
    </row>
    <row r="1315" spans="1:1" x14ac:dyDescent="0.4">
      <c r="A1315" s="21"/>
    </row>
    <row r="1316" spans="1:1" x14ac:dyDescent="0.4">
      <c r="A1316" s="21"/>
    </row>
    <row r="1317" spans="1:1" x14ac:dyDescent="0.4">
      <c r="A1317" s="21"/>
    </row>
    <row r="1318" spans="1:1" x14ac:dyDescent="0.4">
      <c r="A1318" s="21"/>
    </row>
    <row r="1319" spans="1:1" x14ac:dyDescent="0.4">
      <c r="A1319" s="21"/>
    </row>
    <row r="1320" spans="1:1" x14ac:dyDescent="0.4">
      <c r="A1320" s="21"/>
    </row>
    <row r="1321" spans="1:1" x14ac:dyDescent="0.4">
      <c r="A1321" s="21"/>
    </row>
    <row r="1322" spans="1:1" x14ac:dyDescent="0.4">
      <c r="A1322" s="21"/>
    </row>
    <row r="1323" spans="1:1" x14ac:dyDescent="0.4">
      <c r="A1323" s="21"/>
    </row>
    <row r="1324" spans="1:1" x14ac:dyDescent="0.4">
      <c r="A1324" s="21"/>
    </row>
    <row r="1325" spans="1:1" x14ac:dyDescent="0.4">
      <c r="A1325" s="21"/>
    </row>
    <row r="1326" spans="1:1" x14ac:dyDescent="0.4">
      <c r="A1326" s="21"/>
    </row>
    <row r="1327" spans="1:1" x14ac:dyDescent="0.4">
      <c r="A1327" s="21"/>
    </row>
    <row r="1328" spans="1:1" x14ac:dyDescent="0.4">
      <c r="A1328" s="21"/>
    </row>
    <row r="1329" spans="1:1" x14ac:dyDescent="0.4">
      <c r="A1329" s="21"/>
    </row>
    <row r="1330" spans="1:1" x14ac:dyDescent="0.4">
      <c r="A1330" s="21"/>
    </row>
    <row r="1331" spans="1:1" x14ac:dyDescent="0.4">
      <c r="A1331" s="21"/>
    </row>
    <row r="1332" spans="1:1" x14ac:dyDescent="0.4">
      <c r="A1332" s="21"/>
    </row>
    <row r="1333" spans="1:1" x14ac:dyDescent="0.4">
      <c r="A1333" s="21"/>
    </row>
    <row r="1334" spans="1:1" x14ac:dyDescent="0.4">
      <c r="A1334" s="21"/>
    </row>
    <row r="1335" spans="1:1" x14ac:dyDescent="0.4">
      <c r="A1335" s="21"/>
    </row>
    <row r="1336" spans="1:1" x14ac:dyDescent="0.4">
      <c r="A1336" s="21"/>
    </row>
    <row r="1337" spans="1:1" x14ac:dyDescent="0.4">
      <c r="A1337" s="21"/>
    </row>
    <row r="1338" spans="1:1" x14ac:dyDescent="0.4">
      <c r="A1338" s="21"/>
    </row>
    <row r="1339" spans="1:1" x14ac:dyDescent="0.4">
      <c r="A1339" s="21"/>
    </row>
    <row r="1340" spans="1:1" x14ac:dyDescent="0.4">
      <c r="A1340" s="21"/>
    </row>
    <row r="1341" spans="1:1" x14ac:dyDescent="0.4">
      <c r="A1341" s="21"/>
    </row>
    <row r="1342" spans="1:1" x14ac:dyDescent="0.4">
      <c r="A1342" s="21"/>
    </row>
    <row r="1343" spans="1:1" x14ac:dyDescent="0.4">
      <c r="A1343" s="21"/>
    </row>
    <row r="1344" spans="1:1" x14ac:dyDescent="0.4">
      <c r="A1344" s="21"/>
    </row>
    <row r="1345" spans="1:1" x14ac:dyDescent="0.4">
      <c r="A1345" s="21"/>
    </row>
    <row r="1346" spans="1:1" x14ac:dyDescent="0.4">
      <c r="A1346" s="21"/>
    </row>
    <row r="1347" spans="1:1" x14ac:dyDescent="0.4">
      <c r="A1347" s="21"/>
    </row>
    <row r="1348" spans="1:1" x14ac:dyDescent="0.4">
      <c r="A1348" s="21"/>
    </row>
    <row r="1349" spans="1:1" x14ac:dyDescent="0.4">
      <c r="A1349" s="21"/>
    </row>
    <row r="1350" spans="1:1" x14ac:dyDescent="0.4">
      <c r="A1350" s="21"/>
    </row>
    <row r="1351" spans="1:1" x14ac:dyDescent="0.4">
      <c r="A1351" s="21"/>
    </row>
    <row r="1352" spans="1:1" x14ac:dyDescent="0.4">
      <c r="A1352" s="21"/>
    </row>
    <row r="1353" spans="1:1" x14ac:dyDescent="0.4">
      <c r="A1353" s="21"/>
    </row>
    <row r="1354" spans="1:1" x14ac:dyDescent="0.4">
      <c r="A1354" s="21"/>
    </row>
    <row r="1355" spans="1:1" x14ac:dyDescent="0.4">
      <c r="A1355" s="21"/>
    </row>
    <row r="1356" spans="1:1" x14ac:dyDescent="0.4">
      <c r="A1356" s="21"/>
    </row>
    <row r="1357" spans="1:1" x14ac:dyDescent="0.4">
      <c r="A1357" s="21"/>
    </row>
    <row r="1358" spans="1:1" x14ac:dyDescent="0.4">
      <c r="A1358" s="21"/>
    </row>
    <row r="1359" spans="1:1" x14ac:dyDescent="0.4">
      <c r="A1359" s="21"/>
    </row>
    <row r="1360" spans="1:1" x14ac:dyDescent="0.4">
      <c r="A1360" s="21"/>
    </row>
    <row r="1361" spans="1:1" x14ac:dyDescent="0.4">
      <c r="A1361" s="21"/>
    </row>
    <row r="1362" spans="1:1" x14ac:dyDescent="0.4">
      <c r="A1362" s="21"/>
    </row>
    <row r="1363" spans="1:1" x14ac:dyDescent="0.4">
      <c r="A1363" s="21"/>
    </row>
    <row r="1364" spans="1:1" x14ac:dyDescent="0.4">
      <c r="A1364" s="21"/>
    </row>
    <row r="1365" spans="1:1" x14ac:dyDescent="0.4">
      <c r="A1365" s="21"/>
    </row>
    <row r="1366" spans="1:1" x14ac:dyDescent="0.4">
      <c r="A1366" s="21"/>
    </row>
    <row r="1367" spans="1:1" x14ac:dyDescent="0.4">
      <c r="A1367" s="21"/>
    </row>
    <row r="1368" spans="1:1" x14ac:dyDescent="0.4">
      <c r="A1368" s="21"/>
    </row>
    <row r="1369" spans="1:1" x14ac:dyDescent="0.4">
      <c r="A1369" s="21"/>
    </row>
    <row r="1370" spans="1:1" x14ac:dyDescent="0.4">
      <c r="A1370" s="21"/>
    </row>
    <row r="1371" spans="1:1" x14ac:dyDescent="0.4">
      <c r="A1371" s="21"/>
    </row>
    <row r="1372" spans="1:1" x14ac:dyDescent="0.4">
      <c r="A1372" s="21"/>
    </row>
    <row r="1373" spans="1:1" x14ac:dyDescent="0.4">
      <c r="A1373" s="21"/>
    </row>
    <row r="1374" spans="1:1" x14ac:dyDescent="0.4">
      <c r="A1374" s="21"/>
    </row>
    <row r="1375" spans="1:1" x14ac:dyDescent="0.4">
      <c r="A1375" s="21"/>
    </row>
    <row r="1376" spans="1:1" x14ac:dyDescent="0.4">
      <c r="A1376" s="21"/>
    </row>
    <row r="1377" spans="1:1" x14ac:dyDescent="0.4">
      <c r="A1377" s="21"/>
    </row>
    <row r="1378" spans="1:1" x14ac:dyDescent="0.4">
      <c r="A1378" s="21"/>
    </row>
    <row r="1379" spans="1:1" x14ac:dyDescent="0.4">
      <c r="A1379" s="21"/>
    </row>
    <row r="1380" spans="1:1" x14ac:dyDescent="0.4">
      <c r="A1380" s="21"/>
    </row>
    <row r="1381" spans="1:1" x14ac:dyDescent="0.4">
      <c r="A1381" s="21"/>
    </row>
    <row r="1382" spans="1:1" x14ac:dyDescent="0.4">
      <c r="A1382" s="21"/>
    </row>
    <row r="1383" spans="1:1" x14ac:dyDescent="0.4">
      <c r="A1383" s="21"/>
    </row>
    <row r="1384" spans="1:1" x14ac:dyDescent="0.4">
      <c r="A1384" s="21"/>
    </row>
    <row r="1385" spans="1:1" x14ac:dyDescent="0.4">
      <c r="A1385" s="21"/>
    </row>
    <row r="1386" spans="1:1" x14ac:dyDescent="0.4">
      <c r="A1386" s="21"/>
    </row>
    <row r="1387" spans="1:1" x14ac:dyDescent="0.4">
      <c r="A1387" s="21"/>
    </row>
    <row r="1388" spans="1:1" x14ac:dyDescent="0.4">
      <c r="A1388" s="21"/>
    </row>
    <row r="1389" spans="1:1" x14ac:dyDescent="0.4">
      <c r="A1389" s="21"/>
    </row>
    <row r="1390" spans="1:1" x14ac:dyDescent="0.4">
      <c r="A1390" s="21"/>
    </row>
    <row r="1391" spans="1:1" x14ac:dyDescent="0.4">
      <c r="A1391" s="21"/>
    </row>
    <row r="1392" spans="1:1" x14ac:dyDescent="0.4">
      <c r="A1392" s="21"/>
    </row>
    <row r="1393" spans="1:1" x14ac:dyDescent="0.4">
      <c r="A1393" s="21"/>
    </row>
    <row r="1394" spans="1:1" x14ac:dyDescent="0.4">
      <c r="A1394" s="21"/>
    </row>
    <row r="1395" spans="1:1" x14ac:dyDescent="0.4">
      <c r="A1395" s="21"/>
    </row>
    <row r="1396" spans="1:1" x14ac:dyDescent="0.4">
      <c r="A1396" s="21"/>
    </row>
    <row r="1397" spans="1:1" x14ac:dyDescent="0.4">
      <c r="A1397" s="21"/>
    </row>
    <row r="1398" spans="1:1" x14ac:dyDescent="0.4">
      <c r="A1398" s="21"/>
    </row>
    <row r="1399" spans="1:1" x14ac:dyDescent="0.4">
      <c r="A1399" s="21"/>
    </row>
    <row r="1400" spans="1:1" x14ac:dyDescent="0.4">
      <c r="A1400" s="21"/>
    </row>
    <row r="1401" spans="1:1" x14ac:dyDescent="0.4">
      <c r="A1401" s="21"/>
    </row>
    <row r="1402" spans="1:1" x14ac:dyDescent="0.4">
      <c r="A1402" s="21"/>
    </row>
    <row r="1403" spans="1:1" x14ac:dyDescent="0.4">
      <c r="A1403" s="21"/>
    </row>
    <row r="1404" spans="1:1" x14ac:dyDescent="0.4">
      <c r="A1404" s="21"/>
    </row>
    <row r="1405" spans="1:1" x14ac:dyDescent="0.4">
      <c r="A1405" s="21"/>
    </row>
    <row r="1406" spans="1:1" x14ac:dyDescent="0.4">
      <c r="A1406" s="21"/>
    </row>
    <row r="1407" spans="1:1" x14ac:dyDescent="0.4">
      <c r="A1407" s="21"/>
    </row>
    <row r="1408" spans="1:1" x14ac:dyDescent="0.4">
      <c r="A1408" s="21"/>
    </row>
    <row r="1409" spans="1:1" x14ac:dyDescent="0.4">
      <c r="A1409" s="21"/>
    </row>
    <row r="1410" spans="1:1" x14ac:dyDescent="0.4">
      <c r="A1410" s="21"/>
    </row>
    <row r="1411" spans="1:1" x14ac:dyDescent="0.4">
      <c r="A1411" s="21"/>
    </row>
    <row r="1412" spans="1:1" x14ac:dyDescent="0.4">
      <c r="A1412" s="21"/>
    </row>
    <row r="1413" spans="1:1" x14ac:dyDescent="0.4">
      <c r="A1413" s="21"/>
    </row>
    <row r="1414" spans="1:1" x14ac:dyDescent="0.4">
      <c r="A1414" s="21"/>
    </row>
    <row r="1415" spans="1:1" x14ac:dyDescent="0.4">
      <c r="A1415" s="21"/>
    </row>
    <row r="1416" spans="1:1" x14ac:dyDescent="0.4">
      <c r="A1416" s="21"/>
    </row>
    <row r="1417" spans="1:1" x14ac:dyDescent="0.4">
      <c r="A1417" s="21"/>
    </row>
    <row r="1418" spans="1:1" x14ac:dyDescent="0.4">
      <c r="A1418" s="21"/>
    </row>
    <row r="1419" spans="1:1" x14ac:dyDescent="0.4">
      <c r="A1419" s="21"/>
    </row>
    <row r="1420" spans="1:1" x14ac:dyDescent="0.4">
      <c r="A1420" s="21"/>
    </row>
    <row r="1421" spans="1:1" x14ac:dyDescent="0.4">
      <c r="A1421" s="21"/>
    </row>
    <row r="1422" spans="1:1" x14ac:dyDescent="0.4">
      <c r="A1422" s="21"/>
    </row>
    <row r="1423" spans="1:1" x14ac:dyDescent="0.4">
      <c r="A1423" s="21"/>
    </row>
    <row r="1424" spans="1:1" x14ac:dyDescent="0.4">
      <c r="A1424" s="21"/>
    </row>
    <row r="1425" spans="1:1" x14ac:dyDescent="0.4">
      <c r="A1425" s="21"/>
    </row>
    <row r="1426" spans="1:1" x14ac:dyDescent="0.4">
      <c r="A1426" s="21"/>
    </row>
    <row r="1427" spans="1:1" x14ac:dyDescent="0.4">
      <c r="A1427" s="21"/>
    </row>
    <row r="1428" spans="1:1" x14ac:dyDescent="0.4">
      <c r="A1428" s="21"/>
    </row>
    <row r="1429" spans="1:1" x14ac:dyDescent="0.4">
      <c r="A1429" s="21"/>
    </row>
    <row r="1430" spans="1:1" x14ac:dyDescent="0.4">
      <c r="A1430" s="21"/>
    </row>
    <row r="1431" spans="1:1" x14ac:dyDescent="0.4">
      <c r="A1431" s="21"/>
    </row>
    <row r="1432" spans="1:1" x14ac:dyDescent="0.4">
      <c r="A1432" s="21"/>
    </row>
    <row r="1433" spans="1:1" x14ac:dyDescent="0.4">
      <c r="A1433" s="21"/>
    </row>
    <row r="1434" spans="1:1" x14ac:dyDescent="0.4">
      <c r="A1434" s="21"/>
    </row>
    <row r="1435" spans="1:1" x14ac:dyDescent="0.4">
      <c r="A1435" s="21"/>
    </row>
    <row r="1436" spans="1:1" x14ac:dyDescent="0.4">
      <c r="A1436" s="21"/>
    </row>
    <row r="1437" spans="1:1" x14ac:dyDescent="0.4">
      <c r="A1437" s="21"/>
    </row>
    <row r="1438" spans="1:1" x14ac:dyDescent="0.4">
      <c r="A1438" s="21"/>
    </row>
    <row r="1439" spans="1:1" x14ac:dyDescent="0.4">
      <c r="A1439" s="21"/>
    </row>
    <row r="1440" spans="1:1" x14ac:dyDescent="0.4">
      <c r="A1440" s="21"/>
    </row>
    <row r="1441" spans="1:1" x14ac:dyDescent="0.4">
      <c r="A1441" s="21"/>
    </row>
    <row r="1442" spans="1:1" x14ac:dyDescent="0.4">
      <c r="A1442" s="21"/>
    </row>
    <row r="1443" spans="1:1" x14ac:dyDescent="0.4">
      <c r="A1443" s="21"/>
    </row>
    <row r="1444" spans="1:1" x14ac:dyDescent="0.4">
      <c r="A1444" s="21"/>
    </row>
    <row r="1445" spans="1:1" x14ac:dyDescent="0.4">
      <c r="A1445" s="21"/>
    </row>
    <row r="1446" spans="1:1" x14ac:dyDescent="0.4">
      <c r="A1446" s="21"/>
    </row>
    <row r="1447" spans="1:1" x14ac:dyDescent="0.4">
      <c r="A1447" s="21"/>
    </row>
    <row r="1448" spans="1:1" x14ac:dyDescent="0.4">
      <c r="A1448" s="21"/>
    </row>
    <row r="1449" spans="1:1" x14ac:dyDescent="0.4">
      <c r="A1449" s="21"/>
    </row>
    <row r="1450" spans="1:1" x14ac:dyDescent="0.4">
      <c r="A1450" s="21"/>
    </row>
    <row r="1451" spans="1:1" x14ac:dyDescent="0.4">
      <c r="A1451" s="21"/>
    </row>
    <row r="1452" spans="1:1" x14ac:dyDescent="0.4">
      <c r="A1452" s="21"/>
    </row>
    <row r="1453" spans="1:1" x14ac:dyDescent="0.4">
      <c r="A1453" s="21"/>
    </row>
    <row r="1454" spans="1:1" x14ac:dyDescent="0.4">
      <c r="A1454" s="21"/>
    </row>
    <row r="1455" spans="1:1" x14ac:dyDescent="0.4">
      <c r="A1455" s="21"/>
    </row>
    <row r="1456" spans="1:1" x14ac:dyDescent="0.4">
      <c r="A1456" s="21"/>
    </row>
    <row r="1457" spans="1:1" x14ac:dyDescent="0.4">
      <c r="A1457" s="21"/>
    </row>
    <row r="1458" spans="1:1" x14ac:dyDescent="0.4">
      <c r="A1458" s="21"/>
    </row>
    <row r="1459" spans="1:1" x14ac:dyDescent="0.4">
      <c r="A1459" s="21"/>
    </row>
    <row r="1460" spans="1:1" x14ac:dyDescent="0.4">
      <c r="A1460" s="21"/>
    </row>
    <row r="1461" spans="1:1" x14ac:dyDescent="0.4">
      <c r="A1461" s="21"/>
    </row>
    <row r="1462" spans="1:1" x14ac:dyDescent="0.4">
      <c r="A1462" s="21"/>
    </row>
    <row r="1463" spans="1:1" x14ac:dyDescent="0.4">
      <c r="A1463" s="21"/>
    </row>
    <row r="1464" spans="1:1" x14ac:dyDescent="0.4">
      <c r="A1464" s="21"/>
    </row>
    <row r="1465" spans="1:1" x14ac:dyDescent="0.4">
      <c r="A1465" s="21"/>
    </row>
    <row r="1466" spans="1:1" x14ac:dyDescent="0.4">
      <c r="A1466" s="21"/>
    </row>
    <row r="1467" spans="1:1" x14ac:dyDescent="0.4">
      <c r="A1467" s="21"/>
    </row>
    <row r="1468" spans="1:1" x14ac:dyDescent="0.4">
      <c r="A1468" s="21"/>
    </row>
    <row r="1469" spans="1:1" x14ac:dyDescent="0.4">
      <c r="A1469" s="21"/>
    </row>
    <row r="1470" spans="1:1" x14ac:dyDescent="0.4">
      <c r="A1470" s="21"/>
    </row>
    <row r="1471" spans="1:1" x14ac:dyDescent="0.4">
      <c r="A1471" s="21"/>
    </row>
    <row r="1472" spans="1:1" x14ac:dyDescent="0.4">
      <c r="A1472" s="21"/>
    </row>
    <row r="1473" spans="1:1" x14ac:dyDescent="0.4">
      <c r="A1473" s="21"/>
    </row>
    <row r="1474" spans="1:1" x14ac:dyDescent="0.4">
      <c r="A1474" s="21"/>
    </row>
    <row r="1475" spans="1:1" x14ac:dyDescent="0.4">
      <c r="A1475" s="21"/>
    </row>
    <row r="1476" spans="1:1" x14ac:dyDescent="0.4">
      <c r="A1476" s="21"/>
    </row>
    <row r="1477" spans="1:1" x14ac:dyDescent="0.4">
      <c r="A1477" s="21"/>
    </row>
    <row r="1478" spans="1:1" x14ac:dyDescent="0.4">
      <c r="A1478" s="21"/>
    </row>
    <row r="1479" spans="1:1" x14ac:dyDescent="0.4">
      <c r="A1479" s="21"/>
    </row>
    <row r="1480" spans="1:1" x14ac:dyDescent="0.4">
      <c r="A1480" s="21"/>
    </row>
    <row r="1481" spans="1:1" x14ac:dyDescent="0.4">
      <c r="A1481" s="21"/>
    </row>
    <row r="1482" spans="1:1" x14ac:dyDescent="0.4">
      <c r="A1482" s="21"/>
    </row>
    <row r="1483" spans="1:1" x14ac:dyDescent="0.4">
      <c r="A1483" s="21"/>
    </row>
    <row r="1484" spans="1:1" x14ac:dyDescent="0.4">
      <c r="A1484" s="21"/>
    </row>
    <row r="1485" spans="1:1" x14ac:dyDescent="0.4">
      <c r="A1485" s="21"/>
    </row>
    <row r="1486" spans="1:1" x14ac:dyDescent="0.4">
      <c r="A1486" s="21"/>
    </row>
    <row r="1487" spans="1:1" x14ac:dyDescent="0.4">
      <c r="A1487" s="21"/>
    </row>
    <row r="1488" spans="1:1" x14ac:dyDescent="0.4">
      <c r="A1488" s="21"/>
    </row>
    <row r="1489" spans="1:1" x14ac:dyDescent="0.4">
      <c r="A1489" s="21"/>
    </row>
    <row r="1490" spans="1:1" x14ac:dyDescent="0.4">
      <c r="A1490" s="21"/>
    </row>
    <row r="1491" spans="1:1" x14ac:dyDescent="0.4">
      <c r="A1491" s="21"/>
    </row>
    <row r="1492" spans="1:1" x14ac:dyDescent="0.4">
      <c r="A1492" s="21"/>
    </row>
    <row r="1493" spans="1:1" x14ac:dyDescent="0.4">
      <c r="A1493" s="21"/>
    </row>
    <row r="1494" spans="1:1" x14ac:dyDescent="0.4">
      <c r="A1494" s="21"/>
    </row>
    <row r="1495" spans="1:1" x14ac:dyDescent="0.4">
      <c r="A1495" s="21"/>
    </row>
    <row r="1496" spans="1:1" x14ac:dyDescent="0.4">
      <c r="A1496" s="21"/>
    </row>
    <row r="1497" spans="1:1" x14ac:dyDescent="0.4">
      <c r="A1497" s="21"/>
    </row>
    <row r="1498" spans="1:1" x14ac:dyDescent="0.4">
      <c r="A1498" s="21"/>
    </row>
    <row r="1499" spans="1:1" x14ac:dyDescent="0.4">
      <c r="A1499" s="21"/>
    </row>
    <row r="1500" spans="1:1" x14ac:dyDescent="0.4">
      <c r="A1500" s="21"/>
    </row>
    <row r="1501" spans="1:1" x14ac:dyDescent="0.4">
      <c r="A1501" s="21"/>
    </row>
    <row r="1502" spans="1:1" x14ac:dyDescent="0.4">
      <c r="A1502" s="21"/>
    </row>
    <row r="1503" spans="1:1" x14ac:dyDescent="0.4">
      <c r="A1503" s="21"/>
    </row>
    <row r="1504" spans="1:1" x14ac:dyDescent="0.4">
      <c r="A1504" s="21"/>
    </row>
    <row r="1505" spans="1:1" x14ac:dyDescent="0.4">
      <c r="A1505" s="21"/>
    </row>
    <row r="1506" spans="1:1" x14ac:dyDescent="0.4">
      <c r="A1506" s="21"/>
    </row>
    <row r="1507" spans="1:1" x14ac:dyDescent="0.4">
      <c r="A1507" s="21"/>
    </row>
    <row r="1508" spans="1:1" x14ac:dyDescent="0.4">
      <c r="A1508" s="21"/>
    </row>
    <row r="1509" spans="1:1" x14ac:dyDescent="0.4">
      <c r="A1509" s="21"/>
    </row>
    <row r="1510" spans="1:1" x14ac:dyDescent="0.4">
      <c r="A1510" s="21"/>
    </row>
    <row r="1511" spans="1:1" x14ac:dyDescent="0.4">
      <c r="A1511" s="21"/>
    </row>
    <row r="1512" spans="1:1" x14ac:dyDescent="0.4">
      <c r="A1512" s="21"/>
    </row>
    <row r="1513" spans="1:1" x14ac:dyDescent="0.4">
      <c r="A1513" s="21"/>
    </row>
    <row r="1514" spans="1:1" x14ac:dyDescent="0.4">
      <c r="A1514" s="21"/>
    </row>
    <row r="1515" spans="1:1" x14ac:dyDescent="0.4">
      <c r="A1515" s="21"/>
    </row>
    <row r="1516" spans="1:1" x14ac:dyDescent="0.4">
      <c r="A1516" s="21"/>
    </row>
    <row r="1517" spans="1:1" x14ac:dyDescent="0.4">
      <c r="A1517" s="21"/>
    </row>
    <row r="1518" spans="1:1" x14ac:dyDescent="0.4">
      <c r="A1518" s="21"/>
    </row>
    <row r="1519" spans="1:1" x14ac:dyDescent="0.4">
      <c r="A1519" s="21"/>
    </row>
    <row r="1520" spans="1:1" x14ac:dyDescent="0.4">
      <c r="A1520" s="21"/>
    </row>
    <row r="1521" spans="1:1" x14ac:dyDescent="0.4">
      <c r="A1521" s="21"/>
    </row>
    <row r="1522" spans="1:1" x14ac:dyDescent="0.4">
      <c r="A1522" s="21"/>
    </row>
    <row r="1523" spans="1:1" x14ac:dyDescent="0.4">
      <c r="A1523" s="21"/>
    </row>
    <row r="1524" spans="1:1" x14ac:dyDescent="0.4">
      <c r="A1524" s="21"/>
    </row>
    <row r="1525" spans="1:1" x14ac:dyDescent="0.4">
      <c r="A1525" s="21"/>
    </row>
    <row r="1526" spans="1:1" x14ac:dyDescent="0.4">
      <c r="A1526" s="21"/>
    </row>
    <row r="1527" spans="1:1" x14ac:dyDescent="0.4">
      <c r="A1527" s="21"/>
    </row>
    <row r="1528" spans="1:1" x14ac:dyDescent="0.4">
      <c r="A1528" s="21"/>
    </row>
    <row r="1529" spans="1:1" x14ac:dyDescent="0.4">
      <c r="A1529" s="21"/>
    </row>
    <row r="1530" spans="1:1" x14ac:dyDescent="0.4">
      <c r="A1530" s="21"/>
    </row>
    <row r="1531" spans="1:1" x14ac:dyDescent="0.4">
      <c r="A1531" s="21"/>
    </row>
    <row r="1532" spans="1:1" x14ac:dyDescent="0.4">
      <c r="A1532" s="21"/>
    </row>
    <row r="1533" spans="1:1" x14ac:dyDescent="0.4">
      <c r="A1533" s="21"/>
    </row>
    <row r="1534" spans="1:1" x14ac:dyDescent="0.4">
      <c r="A1534" s="21"/>
    </row>
    <row r="1535" spans="1:1" x14ac:dyDescent="0.4">
      <c r="A1535" s="21"/>
    </row>
    <row r="1536" spans="1:1" x14ac:dyDescent="0.4">
      <c r="A1536" s="21"/>
    </row>
    <row r="1537" spans="1:1" x14ac:dyDescent="0.4">
      <c r="A1537" s="21"/>
    </row>
    <row r="1538" spans="1:1" x14ac:dyDescent="0.4">
      <c r="A1538" s="21"/>
    </row>
    <row r="1539" spans="1:1" x14ac:dyDescent="0.4">
      <c r="A1539" s="21"/>
    </row>
    <row r="1540" spans="1:1" x14ac:dyDescent="0.4">
      <c r="A1540" s="21"/>
    </row>
    <row r="1541" spans="1:1" x14ac:dyDescent="0.4">
      <c r="A1541" s="21"/>
    </row>
    <row r="1542" spans="1:1" x14ac:dyDescent="0.4">
      <c r="A1542" s="21"/>
    </row>
    <row r="1543" spans="1:1" x14ac:dyDescent="0.4">
      <c r="A1543" s="21"/>
    </row>
    <row r="1544" spans="1:1" x14ac:dyDescent="0.4">
      <c r="A1544" s="21"/>
    </row>
    <row r="1545" spans="1:1" x14ac:dyDescent="0.4">
      <c r="A1545" s="21"/>
    </row>
    <row r="1546" spans="1:1" x14ac:dyDescent="0.4">
      <c r="A1546" s="21"/>
    </row>
    <row r="1547" spans="1:1" x14ac:dyDescent="0.4">
      <c r="A1547" s="21"/>
    </row>
    <row r="1548" spans="1:1" x14ac:dyDescent="0.4">
      <c r="A1548" s="21"/>
    </row>
    <row r="1549" spans="1:1" x14ac:dyDescent="0.4">
      <c r="A1549" s="21"/>
    </row>
    <row r="1550" spans="1:1" x14ac:dyDescent="0.4">
      <c r="A1550" s="21"/>
    </row>
    <row r="1551" spans="1:1" x14ac:dyDescent="0.4">
      <c r="A1551" s="21"/>
    </row>
    <row r="1552" spans="1:1" x14ac:dyDescent="0.4">
      <c r="A1552" s="21"/>
    </row>
    <row r="1553" spans="1:1" x14ac:dyDescent="0.4">
      <c r="A1553" s="21"/>
    </row>
    <row r="1554" spans="1:1" x14ac:dyDescent="0.4">
      <c r="A1554" s="21"/>
    </row>
    <row r="1555" spans="1:1" x14ac:dyDescent="0.4">
      <c r="A1555" s="21"/>
    </row>
    <row r="1556" spans="1:1" x14ac:dyDescent="0.4">
      <c r="A1556" s="21"/>
    </row>
    <row r="1557" spans="1:1" x14ac:dyDescent="0.4">
      <c r="A1557" s="21"/>
    </row>
    <row r="1558" spans="1:1" x14ac:dyDescent="0.4">
      <c r="A1558" s="21"/>
    </row>
    <row r="1559" spans="1:1" x14ac:dyDescent="0.4">
      <c r="A1559" s="21"/>
    </row>
    <row r="1560" spans="1:1" x14ac:dyDescent="0.4">
      <c r="A1560" s="21"/>
    </row>
    <row r="1561" spans="1:1" x14ac:dyDescent="0.4">
      <c r="A1561" s="21"/>
    </row>
    <row r="1562" spans="1:1" x14ac:dyDescent="0.4">
      <c r="A1562" s="21"/>
    </row>
    <row r="1563" spans="1:1" x14ac:dyDescent="0.4">
      <c r="A1563" s="21"/>
    </row>
    <row r="1564" spans="1:1" x14ac:dyDescent="0.4">
      <c r="A1564" s="21"/>
    </row>
    <row r="1565" spans="1:1" x14ac:dyDescent="0.4">
      <c r="A1565" s="21"/>
    </row>
    <row r="1566" spans="1:1" x14ac:dyDescent="0.4">
      <c r="A1566" s="21"/>
    </row>
    <row r="1567" spans="1:1" x14ac:dyDescent="0.4">
      <c r="A1567" s="21"/>
    </row>
    <row r="1568" spans="1:1" x14ac:dyDescent="0.4">
      <c r="A1568" s="21"/>
    </row>
    <row r="1569" spans="1:1" x14ac:dyDescent="0.4">
      <c r="A1569" s="21"/>
    </row>
    <row r="1570" spans="1:1" x14ac:dyDescent="0.4">
      <c r="A1570" s="21"/>
    </row>
    <row r="1571" spans="1:1" x14ac:dyDescent="0.4">
      <c r="A1571" s="21"/>
    </row>
    <row r="1572" spans="1:1" x14ac:dyDescent="0.4">
      <c r="A1572" s="21"/>
    </row>
    <row r="1573" spans="1:1" x14ac:dyDescent="0.4">
      <c r="A1573" s="21"/>
    </row>
    <row r="1574" spans="1:1" x14ac:dyDescent="0.4">
      <c r="A1574" s="21"/>
    </row>
    <row r="1575" spans="1:1" x14ac:dyDescent="0.4">
      <c r="A1575" s="21"/>
    </row>
    <row r="1576" spans="1:1" x14ac:dyDescent="0.4">
      <c r="A1576" s="21"/>
    </row>
    <row r="1577" spans="1:1" x14ac:dyDescent="0.4">
      <c r="A1577" s="21"/>
    </row>
    <row r="1578" spans="1:1" x14ac:dyDescent="0.4">
      <c r="A1578" s="21"/>
    </row>
    <row r="1579" spans="1:1" x14ac:dyDescent="0.4">
      <c r="A1579" s="21"/>
    </row>
    <row r="1580" spans="1:1" x14ac:dyDescent="0.4">
      <c r="A1580" s="21"/>
    </row>
    <row r="1581" spans="1:1" x14ac:dyDescent="0.4">
      <c r="A1581" s="21"/>
    </row>
    <row r="1582" spans="1:1" x14ac:dyDescent="0.4">
      <c r="A1582" s="21"/>
    </row>
    <row r="1583" spans="1:1" x14ac:dyDescent="0.4">
      <c r="A1583" s="21"/>
    </row>
    <row r="1584" spans="1:1" x14ac:dyDescent="0.4">
      <c r="A1584" s="21"/>
    </row>
    <row r="1585" spans="1:1" x14ac:dyDescent="0.4">
      <c r="A1585" s="21"/>
    </row>
    <row r="1586" spans="1:1" x14ac:dyDescent="0.4">
      <c r="A1586" s="21"/>
    </row>
    <row r="1587" spans="1:1" x14ac:dyDescent="0.4">
      <c r="A1587" s="21"/>
    </row>
    <row r="1588" spans="1:1" x14ac:dyDescent="0.4">
      <c r="A1588" s="21"/>
    </row>
    <row r="1589" spans="1:1" x14ac:dyDescent="0.4">
      <c r="A1589" s="21"/>
    </row>
    <row r="1590" spans="1:1" x14ac:dyDescent="0.4">
      <c r="A1590" s="21"/>
    </row>
    <row r="1591" spans="1:1" x14ac:dyDescent="0.4">
      <c r="A1591" s="21"/>
    </row>
    <row r="1592" spans="1:1" x14ac:dyDescent="0.4">
      <c r="A1592" s="21"/>
    </row>
    <row r="1593" spans="1:1" x14ac:dyDescent="0.4">
      <c r="A1593" s="21"/>
    </row>
    <row r="1594" spans="1:1" x14ac:dyDescent="0.4">
      <c r="A1594" s="21"/>
    </row>
    <row r="1595" spans="1:1" x14ac:dyDescent="0.4">
      <c r="A1595" s="21"/>
    </row>
    <row r="1596" spans="1:1" x14ac:dyDescent="0.4">
      <c r="A1596" s="21"/>
    </row>
    <row r="1597" spans="1:1" x14ac:dyDescent="0.4">
      <c r="A1597" s="21"/>
    </row>
    <row r="1598" spans="1:1" x14ac:dyDescent="0.4">
      <c r="A1598" s="21"/>
    </row>
    <row r="1599" spans="1:1" x14ac:dyDescent="0.4">
      <c r="A1599" s="21"/>
    </row>
    <row r="1600" spans="1:1" x14ac:dyDescent="0.4">
      <c r="A1600" s="21"/>
    </row>
    <row r="1601" spans="1:1" x14ac:dyDescent="0.4">
      <c r="A1601" s="21"/>
    </row>
    <row r="1602" spans="1:1" x14ac:dyDescent="0.4">
      <c r="A1602" s="21"/>
    </row>
    <row r="1603" spans="1:1" x14ac:dyDescent="0.4">
      <c r="A1603" s="21"/>
    </row>
    <row r="1604" spans="1:1" x14ac:dyDescent="0.4">
      <c r="A1604" s="21"/>
    </row>
    <row r="1605" spans="1:1" x14ac:dyDescent="0.4">
      <c r="A1605" s="21"/>
    </row>
    <row r="1606" spans="1:1" x14ac:dyDescent="0.4">
      <c r="A1606" s="21"/>
    </row>
    <row r="1607" spans="1:1" x14ac:dyDescent="0.4">
      <c r="A1607" s="21"/>
    </row>
    <row r="1608" spans="1:1" x14ac:dyDescent="0.4">
      <c r="A1608" s="21"/>
    </row>
    <row r="1609" spans="1:1" x14ac:dyDescent="0.4">
      <c r="A1609" s="21"/>
    </row>
    <row r="1610" spans="1:1" x14ac:dyDescent="0.4">
      <c r="A1610" s="21"/>
    </row>
    <row r="1611" spans="1:1" x14ac:dyDescent="0.4">
      <c r="A1611" s="21"/>
    </row>
    <row r="1612" spans="1:1" x14ac:dyDescent="0.4">
      <c r="A1612" s="21"/>
    </row>
    <row r="1613" spans="1:1" x14ac:dyDescent="0.4">
      <c r="A1613" s="21"/>
    </row>
    <row r="1614" spans="1:1" x14ac:dyDescent="0.4">
      <c r="A1614" s="21"/>
    </row>
    <row r="1615" spans="1:1" x14ac:dyDescent="0.4">
      <c r="A1615" s="21"/>
    </row>
    <row r="1616" spans="1:1" x14ac:dyDescent="0.4">
      <c r="A1616" s="21"/>
    </row>
    <row r="1617" spans="1:1" x14ac:dyDescent="0.4">
      <c r="A1617" s="21"/>
    </row>
    <row r="1618" spans="1:1" x14ac:dyDescent="0.4">
      <c r="A1618" s="21"/>
    </row>
    <row r="1619" spans="1:1" x14ac:dyDescent="0.4">
      <c r="A1619" s="21"/>
    </row>
    <row r="1620" spans="1:1" x14ac:dyDescent="0.4">
      <c r="A1620" s="21"/>
    </row>
    <row r="1621" spans="1:1" x14ac:dyDescent="0.4">
      <c r="A1621" s="21"/>
    </row>
    <row r="1622" spans="1:1" x14ac:dyDescent="0.4">
      <c r="A1622" s="21"/>
    </row>
    <row r="1623" spans="1:1" x14ac:dyDescent="0.4">
      <c r="A1623" s="21"/>
    </row>
    <row r="1624" spans="1:1" x14ac:dyDescent="0.4">
      <c r="A1624" s="21"/>
    </row>
    <row r="1625" spans="1:1" x14ac:dyDescent="0.4">
      <c r="A1625" s="21"/>
    </row>
    <row r="1626" spans="1:1" x14ac:dyDescent="0.4">
      <c r="A1626" s="21"/>
    </row>
    <row r="1627" spans="1:1" x14ac:dyDescent="0.4">
      <c r="A1627" s="21"/>
    </row>
    <row r="1628" spans="1:1" x14ac:dyDescent="0.4">
      <c r="A1628" s="21"/>
    </row>
    <row r="1629" spans="1:1" x14ac:dyDescent="0.4">
      <c r="A1629" s="21"/>
    </row>
    <row r="1630" spans="1:1" x14ac:dyDescent="0.4">
      <c r="A1630" s="21"/>
    </row>
    <row r="1631" spans="1:1" x14ac:dyDescent="0.4">
      <c r="A1631" s="21"/>
    </row>
    <row r="1632" spans="1:1" x14ac:dyDescent="0.4">
      <c r="A1632" s="21"/>
    </row>
    <row r="1633" spans="1:1" x14ac:dyDescent="0.4">
      <c r="A1633" s="21"/>
    </row>
    <row r="1634" spans="1:1" x14ac:dyDescent="0.4">
      <c r="A1634" s="21"/>
    </row>
    <row r="1635" spans="1:1" x14ac:dyDescent="0.4">
      <c r="A1635" s="21"/>
    </row>
    <row r="1636" spans="1:1" x14ac:dyDescent="0.4">
      <c r="A1636" s="21"/>
    </row>
    <row r="1637" spans="1:1" x14ac:dyDescent="0.4">
      <c r="A1637" s="21"/>
    </row>
    <row r="1638" spans="1:1" x14ac:dyDescent="0.4">
      <c r="A1638" s="21"/>
    </row>
    <row r="1639" spans="1:1" x14ac:dyDescent="0.4">
      <c r="A1639" s="21"/>
    </row>
    <row r="1640" spans="1:1" x14ac:dyDescent="0.4">
      <c r="A1640" s="21"/>
    </row>
    <row r="1641" spans="1:1" x14ac:dyDescent="0.4">
      <c r="A1641" s="21"/>
    </row>
    <row r="1642" spans="1:1" x14ac:dyDescent="0.4">
      <c r="A1642" s="21"/>
    </row>
    <row r="1643" spans="1:1" x14ac:dyDescent="0.4">
      <c r="A1643" s="21"/>
    </row>
    <row r="1644" spans="1:1" x14ac:dyDescent="0.4">
      <c r="A1644" s="21"/>
    </row>
    <row r="1645" spans="1:1" x14ac:dyDescent="0.4">
      <c r="A1645" s="21"/>
    </row>
    <row r="1646" spans="1:1" x14ac:dyDescent="0.4">
      <c r="A1646" s="21"/>
    </row>
    <row r="1647" spans="1:1" x14ac:dyDescent="0.4">
      <c r="A1647" s="21"/>
    </row>
    <row r="1648" spans="1:1" x14ac:dyDescent="0.4">
      <c r="A1648" s="21"/>
    </row>
    <row r="1649" spans="1:1" x14ac:dyDescent="0.4">
      <c r="A1649" s="21"/>
    </row>
    <row r="1650" spans="1:1" x14ac:dyDescent="0.4">
      <c r="A1650" s="21"/>
    </row>
    <row r="1651" spans="1:1" x14ac:dyDescent="0.4">
      <c r="A1651" s="21"/>
    </row>
    <row r="1652" spans="1:1" x14ac:dyDescent="0.4">
      <c r="A1652" s="21"/>
    </row>
    <row r="1653" spans="1:1" x14ac:dyDescent="0.4">
      <c r="A1653" s="21"/>
    </row>
    <row r="1654" spans="1:1" x14ac:dyDescent="0.4">
      <c r="A1654" s="21"/>
    </row>
    <row r="1655" spans="1:1" x14ac:dyDescent="0.4">
      <c r="A1655" s="21"/>
    </row>
    <row r="1656" spans="1:1" x14ac:dyDescent="0.4">
      <c r="A1656" s="21"/>
    </row>
    <row r="1657" spans="1:1" x14ac:dyDescent="0.4">
      <c r="A1657" s="21"/>
    </row>
    <row r="1658" spans="1:1" x14ac:dyDescent="0.4">
      <c r="A1658" s="21"/>
    </row>
    <row r="1659" spans="1:1" x14ac:dyDescent="0.4">
      <c r="A1659" s="21"/>
    </row>
    <row r="1660" spans="1:1" x14ac:dyDescent="0.4">
      <c r="A1660" s="21"/>
    </row>
    <row r="1661" spans="1:1" x14ac:dyDescent="0.4">
      <c r="A1661" s="21"/>
    </row>
    <row r="1662" spans="1:1" x14ac:dyDescent="0.4">
      <c r="A1662" s="21"/>
    </row>
    <row r="1663" spans="1:1" x14ac:dyDescent="0.4">
      <c r="A1663" s="21"/>
    </row>
    <row r="1664" spans="1:1" x14ac:dyDescent="0.4">
      <c r="A1664" s="21"/>
    </row>
    <row r="1665" spans="1:1" x14ac:dyDescent="0.4">
      <c r="A1665" s="21"/>
    </row>
    <row r="1666" spans="1:1" x14ac:dyDescent="0.4">
      <c r="A1666" s="21"/>
    </row>
    <row r="1667" spans="1:1" x14ac:dyDescent="0.4">
      <c r="A1667" s="21"/>
    </row>
    <row r="1668" spans="1:1" x14ac:dyDescent="0.4">
      <c r="A1668" s="21"/>
    </row>
    <row r="1669" spans="1:1" x14ac:dyDescent="0.4">
      <c r="A1669" s="21"/>
    </row>
    <row r="1670" spans="1:1" x14ac:dyDescent="0.4">
      <c r="A1670" s="21"/>
    </row>
    <row r="1671" spans="1:1" x14ac:dyDescent="0.4">
      <c r="A1671" s="21"/>
    </row>
    <row r="1672" spans="1:1" x14ac:dyDescent="0.4">
      <c r="A1672" s="21"/>
    </row>
    <row r="1673" spans="1:1" x14ac:dyDescent="0.4">
      <c r="A1673" s="21"/>
    </row>
    <row r="1674" spans="1:1" x14ac:dyDescent="0.4">
      <c r="A1674" s="21"/>
    </row>
    <row r="1675" spans="1:1" x14ac:dyDescent="0.4">
      <c r="A1675" s="21"/>
    </row>
    <row r="1676" spans="1:1" x14ac:dyDescent="0.4">
      <c r="A1676" s="21"/>
    </row>
    <row r="1677" spans="1:1" x14ac:dyDescent="0.4">
      <c r="A1677" s="21"/>
    </row>
    <row r="1678" spans="1:1" x14ac:dyDescent="0.4">
      <c r="A1678" s="21"/>
    </row>
    <row r="1679" spans="1:1" x14ac:dyDescent="0.4">
      <c r="A1679" s="21"/>
    </row>
    <row r="1680" spans="1:1" x14ac:dyDescent="0.4">
      <c r="A1680" s="21"/>
    </row>
    <row r="1681" spans="1:1" x14ac:dyDescent="0.4">
      <c r="A1681" s="21"/>
    </row>
    <row r="1682" spans="1:1" x14ac:dyDescent="0.4">
      <c r="A1682" s="21"/>
    </row>
    <row r="1683" spans="1:1" x14ac:dyDescent="0.4">
      <c r="A1683" s="21"/>
    </row>
    <row r="1684" spans="1:1" x14ac:dyDescent="0.4">
      <c r="A1684" s="21"/>
    </row>
    <row r="1685" spans="1:1" x14ac:dyDescent="0.4">
      <c r="A1685" s="21"/>
    </row>
    <row r="1686" spans="1:1" x14ac:dyDescent="0.4">
      <c r="A1686" s="21"/>
    </row>
    <row r="1687" spans="1:1" x14ac:dyDescent="0.4">
      <c r="A1687" s="21"/>
    </row>
    <row r="1688" spans="1:1" x14ac:dyDescent="0.4">
      <c r="A1688" s="21"/>
    </row>
    <row r="1689" spans="1:1" x14ac:dyDescent="0.4">
      <c r="A1689" s="21"/>
    </row>
    <row r="1690" spans="1:1" x14ac:dyDescent="0.4">
      <c r="A1690" s="21"/>
    </row>
    <row r="1691" spans="1:1" x14ac:dyDescent="0.4">
      <c r="A1691" s="21"/>
    </row>
    <row r="1692" spans="1:1" x14ac:dyDescent="0.4">
      <c r="A1692" s="21"/>
    </row>
    <row r="1693" spans="1:1" x14ac:dyDescent="0.4">
      <c r="A1693" s="21"/>
    </row>
    <row r="1694" spans="1:1" x14ac:dyDescent="0.4">
      <c r="A1694" s="21"/>
    </row>
    <row r="1695" spans="1:1" x14ac:dyDescent="0.4">
      <c r="A1695" s="21"/>
    </row>
    <row r="1696" spans="1:1" x14ac:dyDescent="0.4">
      <c r="A1696" s="21"/>
    </row>
    <row r="1697" spans="1:1" x14ac:dyDescent="0.4">
      <c r="A1697" s="21"/>
    </row>
    <row r="1698" spans="1:1" x14ac:dyDescent="0.4">
      <c r="A1698" s="21"/>
    </row>
    <row r="1699" spans="1:1" x14ac:dyDescent="0.4">
      <c r="A1699" s="21"/>
    </row>
    <row r="1700" spans="1:1" x14ac:dyDescent="0.4">
      <c r="A1700" s="21"/>
    </row>
    <row r="1701" spans="1:1" x14ac:dyDescent="0.4">
      <c r="A1701" s="21"/>
    </row>
    <row r="1702" spans="1:1" x14ac:dyDescent="0.4">
      <c r="A1702" s="21"/>
    </row>
    <row r="1703" spans="1:1" x14ac:dyDescent="0.4">
      <c r="A1703" s="21"/>
    </row>
    <row r="1704" spans="1:1" x14ac:dyDescent="0.4">
      <c r="A1704" s="21"/>
    </row>
    <row r="1705" spans="1:1" x14ac:dyDescent="0.4">
      <c r="A1705" s="21"/>
    </row>
    <row r="1706" spans="1:1" x14ac:dyDescent="0.4">
      <c r="A1706" s="21"/>
    </row>
    <row r="1707" spans="1:1" x14ac:dyDescent="0.4">
      <c r="A1707" s="21"/>
    </row>
    <row r="1708" spans="1:1" x14ac:dyDescent="0.4">
      <c r="A1708" s="21"/>
    </row>
    <row r="1709" spans="1:1" x14ac:dyDescent="0.4">
      <c r="A1709" s="21"/>
    </row>
    <row r="1710" spans="1:1" x14ac:dyDescent="0.4">
      <c r="A1710" s="21"/>
    </row>
    <row r="1711" spans="1:1" x14ac:dyDescent="0.4">
      <c r="A1711" s="21"/>
    </row>
    <row r="1712" spans="1:1" x14ac:dyDescent="0.4">
      <c r="A1712" s="21"/>
    </row>
    <row r="1713" spans="1:1" x14ac:dyDescent="0.4">
      <c r="A1713" s="21"/>
    </row>
    <row r="1714" spans="1:1" x14ac:dyDescent="0.4">
      <c r="A1714" s="21"/>
    </row>
    <row r="1715" spans="1:1" x14ac:dyDescent="0.4">
      <c r="A1715" s="21"/>
    </row>
    <row r="1716" spans="1:1" x14ac:dyDescent="0.4">
      <c r="A1716" s="21"/>
    </row>
    <row r="1717" spans="1:1" x14ac:dyDescent="0.4">
      <c r="A1717" s="21"/>
    </row>
    <row r="1718" spans="1:1" x14ac:dyDescent="0.4">
      <c r="A1718" s="21"/>
    </row>
    <row r="1719" spans="1:1" x14ac:dyDescent="0.4">
      <c r="A1719" s="21"/>
    </row>
    <row r="1720" spans="1:1" x14ac:dyDescent="0.4">
      <c r="A1720" s="21"/>
    </row>
    <row r="1721" spans="1:1" x14ac:dyDescent="0.4">
      <c r="A1721" s="21"/>
    </row>
    <row r="1722" spans="1:1" x14ac:dyDescent="0.4">
      <c r="A1722" s="21"/>
    </row>
    <row r="1723" spans="1:1" x14ac:dyDescent="0.4">
      <c r="A1723" s="21"/>
    </row>
    <row r="1724" spans="1:1" x14ac:dyDescent="0.4">
      <c r="A1724" s="21"/>
    </row>
    <row r="1725" spans="1:1" x14ac:dyDescent="0.4">
      <c r="A1725" s="21"/>
    </row>
    <row r="1726" spans="1:1" x14ac:dyDescent="0.4">
      <c r="A1726" s="21"/>
    </row>
    <row r="1727" spans="1:1" x14ac:dyDescent="0.4">
      <c r="A1727" s="21"/>
    </row>
    <row r="1728" spans="1:1" x14ac:dyDescent="0.4">
      <c r="A1728" s="21"/>
    </row>
    <row r="1729" spans="1:1" x14ac:dyDescent="0.4">
      <c r="A1729" s="21"/>
    </row>
    <row r="1730" spans="1:1" x14ac:dyDescent="0.4">
      <c r="A1730" s="21"/>
    </row>
    <row r="1731" spans="1:1" x14ac:dyDescent="0.4">
      <c r="A1731" s="21"/>
    </row>
    <row r="1732" spans="1:1" x14ac:dyDescent="0.4">
      <c r="A1732" s="21"/>
    </row>
    <row r="1733" spans="1:1" x14ac:dyDescent="0.4">
      <c r="A1733" s="21"/>
    </row>
    <row r="1734" spans="1:1" x14ac:dyDescent="0.4">
      <c r="A1734" s="21"/>
    </row>
    <row r="1735" spans="1:1" x14ac:dyDescent="0.4">
      <c r="A1735" s="21"/>
    </row>
    <row r="1736" spans="1:1" x14ac:dyDescent="0.4">
      <c r="A1736" s="21"/>
    </row>
    <row r="1737" spans="1:1" x14ac:dyDescent="0.4">
      <c r="A1737" s="21"/>
    </row>
    <row r="1738" spans="1:1" x14ac:dyDescent="0.4">
      <c r="A1738" s="21"/>
    </row>
    <row r="1739" spans="1:1" x14ac:dyDescent="0.4">
      <c r="A1739" s="21"/>
    </row>
    <row r="1740" spans="1:1" x14ac:dyDescent="0.4">
      <c r="A1740" s="21"/>
    </row>
    <row r="1741" spans="1:1" x14ac:dyDescent="0.4">
      <c r="A1741" s="21"/>
    </row>
    <row r="1742" spans="1:1" x14ac:dyDescent="0.4">
      <c r="A1742" s="21"/>
    </row>
    <row r="1743" spans="1:1" x14ac:dyDescent="0.4">
      <c r="A1743" s="21"/>
    </row>
    <row r="1744" spans="1:1" x14ac:dyDescent="0.4">
      <c r="A1744" s="21"/>
    </row>
    <row r="1745" spans="1:1" x14ac:dyDescent="0.4">
      <c r="A1745" s="21"/>
    </row>
    <row r="1746" spans="1:1" x14ac:dyDescent="0.4">
      <c r="A1746" s="21"/>
    </row>
    <row r="1747" spans="1:1" x14ac:dyDescent="0.4">
      <c r="A1747" s="21"/>
    </row>
    <row r="1748" spans="1:1" x14ac:dyDescent="0.4">
      <c r="A1748" s="21"/>
    </row>
    <row r="1749" spans="1:1" x14ac:dyDescent="0.4">
      <c r="A1749" s="21"/>
    </row>
    <row r="1750" spans="1:1" x14ac:dyDescent="0.4">
      <c r="A1750" s="21"/>
    </row>
    <row r="1751" spans="1:1" x14ac:dyDescent="0.4">
      <c r="A1751" s="21"/>
    </row>
    <row r="1752" spans="1:1" x14ac:dyDescent="0.4">
      <c r="A1752" s="21"/>
    </row>
    <row r="1753" spans="1:1" x14ac:dyDescent="0.4">
      <c r="A1753" s="21"/>
    </row>
    <row r="1754" spans="1:1" x14ac:dyDescent="0.4">
      <c r="A1754" s="21"/>
    </row>
    <row r="1755" spans="1:1" x14ac:dyDescent="0.4">
      <c r="A1755" s="21"/>
    </row>
    <row r="1756" spans="1:1" x14ac:dyDescent="0.4">
      <c r="A1756" s="21"/>
    </row>
    <row r="1757" spans="1:1" x14ac:dyDescent="0.4">
      <c r="A1757" s="21"/>
    </row>
    <row r="1758" spans="1:1" x14ac:dyDescent="0.4">
      <c r="A1758" s="21"/>
    </row>
    <row r="1759" spans="1:1" x14ac:dyDescent="0.4">
      <c r="A1759" s="21"/>
    </row>
    <row r="1760" spans="1:1" x14ac:dyDescent="0.4">
      <c r="A1760" s="21"/>
    </row>
    <row r="1761" spans="1:1" x14ac:dyDescent="0.4">
      <c r="A1761" s="21"/>
    </row>
    <row r="1762" spans="1:1" x14ac:dyDescent="0.4">
      <c r="A1762" s="21"/>
    </row>
    <row r="1763" spans="1:1" x14ac:dyDescent="0.4">
      <c r="A1763" s="21"/>
    </row>
    <row r="1764" spans="1:1" x14ac:dyDescent="0.4">
      <c r="A1764" s="21"/>
    </row>
    <row r="1765" spans="1:1" x14ac:dyDescent="0.4">
      <c r="A1765" s="21"/>
    </row>
    <row r="1766" spans="1:1" x14ac:dyDescent="0.4">
      <c r="A1766" s="21"/>
    </row>
    <row r="1767" spans="1:1" x14ac:dyDescent="0.4">
      <c r="A1767" s="21"/>
    </row>
    <row r="1768" spans="1:1" x14ac:dyDescent="0.4">
      <c r="A1768" s="21"/>
    </row>
    <row r="1769" spans="1:1" x14ac:dyDescent="0.4">
      <c r="A1769" s="21"/>
    </row>
    <row r="1770" spans="1:1" x14ac:dyDescent="0.4">
      <c r="A1770" s="21"/>
    </row>
    <row r="1771" spans="1:1" x14ac:dyDescent="0.4">
      <c r="A1771" s="21"/>
    </row>
    <row r="1772" spans="1:1" x14ac:dyDescent="0.4">
      <c r="A1772" s="21"/>
    </row>
    <row r="1773" spans="1:1" x14ac:dyDescent="0.4">
      <c r="A1773" s="21"/>
    </row>
    <row r="1774" spans="1:1" x14ac:dyDescent="0.4">
      <c r="A1774" s="21"/>
    </row>
    <row r="1775" spans="1:1" x14ac:dyDescent="0.4">
      <c r="A1775" s="21"/>
    </row>
    <row r="1776" spans="1:1" x14ac:dyDescent="0.4">
      <c r="A1776" s="21"/>
    </row>
    <row r="1777" spans="1:1" x14ac:dyDescent="0.4">
      <c r="A1777" s="21"/>
    </row>
    <row r="1778" spans="1:1" x14ac:dyDescent="0.4">
      <c r="A1778" s="21"/>
    </row>
    <row r="1779" spans="1:1" x14ac:dyDescent="0.4">
      <c r="A1779" s="21"/>
    </row>
    <row r="1780" spans="1:1" x14ac:dyDescent="0.4">
      <c r="A1780" s="21"/>
    </row>
    <row r="1781" spans="1:1" x14ac:dyDescent="0.4">
      <c r="A1781" s="21"/>
    </row>
    <row r="1782" spans="1:1" x14ac:dyDescent="0.4">
      <c r="A1782" s="21"/>
    </row>
    <row r="1783" spans="1:1" x14ac:dyDescent="0.4">
      <c r="A1783" s="21"/>
    </row>
    <row r="1784" spans="1:1" x14ac:dyDescent="0.4">
      <c r="A1784" s="21"/>
    </row>
    <row r="1785" spans="1:1" x14ac:dyDescent="0.4">
      <c r="A1785" s="21"/>
    </row>
    <row r="1786" spans="1:1" x14ac:dyDescent="0.4">
      <c r="A1786" s="21"/>
    </row>
    <row r="1787" spans="1:1" x14ac:dyDescent="0.4">
      <c r="A1787" s="21"/>
    </row>
    <row r="1788" spans="1:1" x14ac:dyDescent="0.4">
      <c r="A1788" s="21"/>
    </row>
    <row r="1789" spans="1:1" x14ac:dyDescent="0.4">
      <c r="A1789" s="21"/>
    </row>
    <row r="1790" spans="1:1" x14ac:dyDescent="0.4">
      <c r="A1790" s="21"/>
    </row>
    <row r="1791" spans="1:1" x14ac:dyDescent="0.4">
      <c r="A1791" s="21"/>
    </row>
    <row r="1792" spans="1:1" x14ac:dyDescent="0.4">
      <c r="A1792" s="21"/>
    </row>
    <row r="1793" spans="1:1" x14ac:dyDescent="0.4">
      <c r="A1793" s="21"/>
    </row>
    <row r="1794" spans="1:1" x14ac:dyDescent="0.4">
      <c r="A1794" s="21"/>
    </row>
    <row r="1795" spans="1:1" x14ac:dyDescent="0.4">
      <c r="A1795" s="21"/>
    </row>
    <row r="1796" spans="1:1" x14ac:dyDescent="0.4">
      <c r="A1796" s="21"/>
    </row>
    <row r="1797" spans="1:1" x14ac:dyDescent="0.4">
      <c r="A1797" s="21"/>
    </row>
    <row r="1798" spans="1:1" x14ac:dyDescent="0.4">
      <c r="A1798" s="21"/>
    </row>
    <row r="1799" spans="1:1" x14ac:dyDescent="0.4">
      <c r="A1799" s="21"/>
    </row>
    <row r="1800" spans="1:1" x14ac:dyDescent="0.4">
      <c r="A1800" s="21"/>
    </row>
    <row r="1801" spans="1:1" x14ac:dyDescent="0.4">
      <c r="A1801" s="21"/>
    </row>
    <row r="1802" spans="1:1" x14ac:dyDescent="0.4">
      <c r="A1802" s="21"/>
    </row>
    <row r="1803" spans="1:1" x14ac:dyDescent="0.4">
      <c r="A1803" s="21"/>
    </row>
    <row r="1804" spans="1:1" x14ac:dyDescent="0.4">
      <c r="A1804" s="21"/>
    </row>
    <row r="1805" spans="1:1" x14ac:dyDescent="0.4">
      <c r="A1805" s="21"/>
    </row>
    <row r="1806" spans="1:1" x14ac:dyDescent="0.4">
      <c r="A1806" s="21"/>
    </row>
    <row r="1807" spans="1:1" x14ac:dyDescent="0.4">
      <c r="A1807" s="21"/>
    </row>
    <row r="1808" spans="1:1" x14ac:dyDescent="0.4">
      <c r="A1808" s="21"/>
    </row>
    <row r="1809" spans="1:1" x14ac:dyDescent="0.4">
      <c r="A1809" s="21"/>
    </row>
    <row r="1810" spans="1:1" x14ac:dyDescent="0.4">
      <c r="A1810" s="21"/>
    </row>
    <row r="1811" spans="1:1" x14ac:dyDescent="0.4">
      <c r="A1811" s="21"/>
    </row>
    <row r="1812" spans="1:1" x14ac:dyDescent="0.4">
      <c r="A1812" s="21"/>
    </row>
    <row r="1813" spans="1:1" x14ac:dyDescent="0.4">
      <c r="A1813" s="21"/>
    </row>
    <row r="1814" spans="1:1" x14ac:dyDescent="0.4">
      <c r="A1814" s="21"/>
    </row>
    <row r="1815" spans="1:1" x14ac:dyDescent="0.4">
      <c r="A1815" s="21"/>
    </row>
    <row r="1816" spans="1:1" x14ac:dyDescent="0.4">
      <c r="A1816" s="21"/>
    </row>
    <row r="1817" spans="1:1" x14ac:dyDescent="0.4">
      <c r="A1817" s="21"/>
    </row>
    <row r="1818" spans="1:1" x14ac:dyDescent="0.4">
      <c r="A1818" s="21"/>
    </row>
    <row r="1819" spans="1:1" x14ac:dyDescent="0.4">
      <c r="A1819" s="21"/>
    </row>
    <row r="1820" spans="1:1" x14ac:dyDescent="0.4">
      <c r="A1820" s="21"/>
    </row>
    <row r="1821" spans="1:1" x14ac:dyDescent="0.4">
      <c r="A1821" s="21"/>
    </row>
    <row r="1822" spans="1:1" x14ac:dyDescent="0.4">
      <c r="A1822" s="21"/>
    </row>
    <row r="1823" spans="1:1" x14ac:dyDescent="0.4">
      <c r="A1823" s="21"/>
    </row>
    <row r="1824" spans="1:1" x14ac:dyDescent="0.4">
      <c r="A1824" s="21"/>
    </row>
    <row r="1825" spans="1:1" x14ac:dyDescent="0.4">
      <c r="A1825" s="21"/>
    </row>
    <row r="1826" spans="1:1" x14ac:dyDescent="0.4">
      <c r="A1826" s="21"/>
    </row>
    <row r="1827" spans="1:1" x14ac:dyDescent="0.4">
      <c r="A1827" s="21"/>
    </row>
    <row r="1828" spans="1:1" x14ac:dyDescent="0.4">
      <c r="A1828" s="21"/>
    </row>
    <row r="1829" spans="1:1" x14ac:dyDescent="0.4">
      <c r="A1829" s="21"/>
    </row>
    <row r="1830" spans="1:1" x14ac:dyDescent="0.4">
      <c r="A1830" s="21"/>
    </row>
    <row r="1831" spans="1:1" x14ac:dyDescent="0.4">
      <c r="A1831" s="21"/>
    </row>
    <row r="1832" spans="1:1" x14ac:dyDescent="0.4">
      <c r="A1832" s="21"/>
    </row>
    <row r="1833" spans="1:1" x14ac:dyDescent="0.4">
      <c r="A1833" s="21"/>
    </row>
    <row r="1834" spans="1:1" x14ac:dyDescent="0.4">
      <c r="A1834" s="21"/>
    </row>
    <row r="1835" spans="1:1" x14ac:dyDescent="0.4">
      <c r="A1835" s="21"/>
    </row>
    <row r="1836" spans="1:1" x14ac:dyDescent="0.4">
      <c r="A1836" s="21"/>
    </row>
    <row r="1837" spans="1:1" x14ac:dyDescent="0.4">
      <c r="A1837" s="21"/>
    </row>
    <row r="1838" spans="1:1" x14ac:dyDescent="0.4">
      <c r="A1838" s="21"/>
    </row>
    <row r="1839" spans="1:1" x14ac:dyDescent="0.4">
      <c r="A1839" s="21"/>
    </row>
    <row r="1840" spans="1:1" x14ac:dyDescent="0.4">
      <c r="A1840" s="21"/>
    </row>
    <row r="1841" spans="1:1" x14ac:dyDescent="0.4">
      <c r="A1841" s="21"/>
    </row>
    <row r="1842" spans="1:1" x14ac:dyDescent="0.4">
      <c r="A1842" s="21"/>
    </row>
    <row r="1843" spans="1:1" x14ac:dyDescent="0.4">
      <c r="A1843" s="21"/>
    </row>
    <row r="1844" spans="1:1" x14ac:dyDescent="0.4">
      <c r="A1844" s="21"/>
    </row>
    <row r="1845" spans="1:1" x14ac:dyDescent="0.4">
      <c r="A1845" s="21"/>
    </row>
    <row r="1846" spans="1:1" x14ac:dyDescent="0.4">
      <c r="A1846" s="21"/>
    </row>
    <row r="1847" spans="1:1" x14ac:dyDescent="0.4">
      <c r="A1847" s="21"/>
    </row>
    <row r="1848" spans="1:1" x14ac:dyDescent="0.4">
      <c r="A1848" s="21"/>
    </row>
    <row r="1849" spans="1:1" x14ac:dyDescent="0.4">
      <c r="A1849" s="21"/>
    </row>
    <row r="1850" spans="1:1" x14ac:dyDescent="0.4">
      <c r="A1850" s="21"/>
    </row>
    <row r="1851" spans="1:1" x14ac:dyDescent="0.4">
      <c r="A1851" s="21"/>
    </row>
    <row r="1852" spans="1:1" x14ac:dyDescent="0.4">
      <c r="A1852" s="21"/>
    </row>
    <row r="1853" spans="1:1" x14ac:dyDescent="0.4">
      <c r="A1853" s="21"/>
    </row>
    <row r="1854" spans="1:1" x14ac:dyDescent="0.4">
      <c r="A1854" s="21"/>
    </row>
    <row r="1855" spans="1:1" x14ac:dyDescent="0.4">
      <c r="A1855" s="21"/>
    </row>
    <row r="1856" spans="1:1" x14ac:dyDescent="0.4">
      <c r="A1856" s="21"/>
    </row>
    <row r="1857" spans="1:1" x14ac:dyDescent="0.4">
      <c r="A1857" s="21"/>
    </row>
    <row r="1858" spans="1:1" x14ac:dyDescent="0.4">
      <c r="A1858" s="21"/>
    </row>
    <row r="1859" spans="1:1" x14ac:dyDescent="0.4">
      <c r="A1859" s="21"/>
    </row>
    <row r="1860" spans="1:1" x14ac:dyDescent="0.4">
      <c r="A1860" s="21"/>
    </row>
    <row r="1861" spans="1:1" x14ac:dyDescent="0.4">
      <c r="A1861" s="21"/>
    </row>
    <row r="1862" spans="1:1" x14ac:dyDescent="0.4">
      <c r="A1862" s="21"/>
    </row>
    <row r="1863" spans="1:1" x14ac:dyDescent="0.4">
      <c r="A1863" s="21"/>
    </row>
    <row r="1864" spans="1:1" x14ac:dyDescent="0.4">
      <c r="A1864" s="21"/>
    </row>
    <row r="1865" spans="1:1" x14ac:dyDescent="0.4">
      <c r="A1865" s="21"/>
    </row>
    <row r="1866" spans="1:1" x14ac:dyDescent="0.4">
      <c r="A1866" s="21"/>
    </row>
    <row r="1867" spans="1:1" x14ac:dyDescent="0.4">
      <c r="A1867" s="21"/>
    </row>
    <row r="1868" spans="1:1" x14ac:dyDescent="0.4">
      <c r="A1868" s="21"/>
    </row>
    <row r="1869" spans="1:1" x14ac:dyDescent="0.4">
      <c r="A1869" s="21"/>
    </row>
    <row r="1870" spans="1:1" x14ac:dyDescent="0.4">
      <c r="A1870" s="21"/>
    </row>
    <row r="1871" spans="1:1" x14ac:dyDescent="0.4">
      <c r="A1871" s="21"/>
    </row>
    <row r="1872" spans="1:1" x14ac:dyDescent="0.4">
      <c r="A1872" s="21"/>
    </row>
    <row r="1873" spans="1:1" x14ac:dyDescent="0.4">
      <c r="A1873" s="21"/>
    </row>
    <row r="1874" spans="1:1" x14ac:dyDescent="0.4">
      <c r="A1874" s="21"/>
    </row>
    <row r="1875" spans="1:1" x14ac:dyDescent="0.4">
      <c r="A1875" s="21"/>
    </row>
    <row r="1876" spans="1:1" x14ac:dyDescent="0.4">
      <c r="A1876" s="21"/>
    </row>
    <row r="1877" spans="1:1" x14ac:dyDescent="0.4">
      <c r="A1877" s="21"/>
    </row>
    <row r="1878" spans="1:1" x14ac:dyDescent="0.4">
      <c r="A1878" s="21"/>
    </row>
    <row r="1879" spans="1:1" x14ac:dyDescent="0.4">
      <c r="A1879" s="21"/>
    </row>
    <row r="1880" spans="1:1" x14ac:dyDescent="0.4">
      <c r="A1880" s="21"/>
    </row>
    <row r="1881" spans="1:1" x14ac:dyDescent="0.4">
      <c r="A1881" s="21"/>
    </row>
    <row r="1882" spans="1:1" x14ac:dyDescent="0.4">
      <c r="A1882" s="21"/>
    </row>
    <row r="1883" spans="1:1" x14ac:dyDescent="0.4">
      <c r="A1883" s="21"/>
    </row>
    <row r="1884" spans="1:1" x14ac:dyDescent="0.4">
      <c r="A1884" s="21"/>
    </row>
    <row r="1885" spans="1:1" x14ac:dyDescent="0.4">
      <c r="A1885" s="21"/>
    </row>
    <row r="1886" spans="1:1" x14ac:dyDescent="0.4">
      <c r="A1886" s="21"/>
    </row>
    <row r="1887" spans="1:1" x14ac:dyDescent="0.4">
      <c r="A1887" s="21"/>
    </row>
    <row r="1888" spans="1:1" x14ac:dyDescent="0.4">
      <c r="A1888" s="21"/>
    </row>
    <row r="1889" spans="1:1" x14ac:dyDescent="0.4">
      <c r="A1889" s="21"/>
    </row>
    <row r="1890" spans="1:1" x14ac:dyDescent="0.4">
      <c r="A1890" s="21"/>
    </row>
    <row r="1891" spans="1:1" x14ac:dyDescent="0.4">
      <c r="A1891" s="21"/>
    </row>
    <row r="1892" spans="1:1" x14ac:dyDescent="0.4">
      <c r="A1892" s="21"/>
    </row>
    <row r="1893" spans="1:1" x14ac:dyDescent="0.4">
      <c r="A1893" s="21"/>
    </row>
    <row r="1894" spans="1:1" x14ac:dyDescent="0.4">
      <c r="A1894" s="21"/>
    </row>
    <row r="1895" spans="1:1" x14ac:dyDescent="0.4">
      <c r="A1895" s="21"/>
    </row>
    <row r="1896" spans="1:1" x14ac:dyDescent="0.4">
      <c r="A1896" s="21"/>
    </row>
    <row r="1897" spans="1:1" x14ac:dyDescent="0.4">
      <c r="A1897" s="21"/>
    </row>
    <row r="1898" spans="1:1" x14ac:dyDescent="0.4">
      <c r="A1898" s="21"/>
    </row>
    <row r="1899" spans="1:1" x14ac:dyDescent="0.4">
      <c r="A1899" s="21"/>
    </row>
    <row r="1900" spans="1:1" x14ac:dyDescent="0.4">
      <c r="A1900" s="21"/>
    </row>
    <row r="1901" spans="1:1" x14ac:dyDescent="0.4">
      <c r="A1901" s="21"/>
    </row>
    <row r="1902" spans="1:1" x14ac:dyDescent="0.4">
      <c r="A1902" s="21"/>
    </row>
    <row r="1903" spans="1:1" x14ac:dyDescent="0.4">
      <c r="A1903" s="21"/>
    </row>
    <row r="1904" spans="1:1" x14ac:dyDescent="0.4">
      <c r="A1904" s="21"/>
    </row>
    <row r="1905" spans="1:1" x14ac:dyDescent="0.4">
      <c r="A1905" s="21"/>
    </row>
    <row r="1906" spans="1:1" x14ac:dyDescent="0.4">
      <c r="A1906" s="21"/>
    </row>
    <row r="1907" spans="1:1" x14ac:dyDescent="0.4">
      <c r="A1907" s="21"/>
    </row>
    <row r="1908" spans="1:1" x14ac:dyDescent="0.4">
      <c r="A1908" s="21"/>
    </row>
    <row r="1909" spans="1:1" x14ac:dyDescent="0.4">
      <c r="A1909" s="21"/>
    </row>
    <row r="1910" spans="1:1" x14ac:dyDescent="0.4">
      <c r="A1910" s="21"/>
    </row>
    <row r="1911" spans="1:1" x14ac:dyDescent="0.4">
      <c r="A1911" s="21"/>
    </row>
    <row r="1912" spans="1:1" x14ac:dyDescent="0.4">
      <c r="A1912" s="21"/>
    </row>
    <row r="1913" spans="1:1" x14ac:dyDescent="0.4">
      <c r="A1913" s="21"/>
    </row>
    <row r="1914" spans="1:1" x14ac:dyDescent="0.4">
      <c r="A1914" s="21"/>
    </row>
    <row r="1915" spans="1:1" x14ac:dyDescent="0.4">
      <c r="A1915" s="21"/>
    </row>
    <row r="1916" spans="1:1" x14ac:dyDescent="0.4">
      <c r="A1916" s="21"/>
    </row>
    <row r="1917" spans="1:1" x14ac:dyDescent="0.4">
      <c r="A1917" s="21"/>
    </row>
    <row r="1918" spans="1:1" x14ac:dyDescent="0.4">
      <c r="A1918" s="21"/>
    </row>
    <row r="1919" spans="1:1" x14ac:dyDescent="0.4">
      <c r="A1919" s="21"/>
    </row>
    <row r="1920" spans="1:1" x14ac:dyDescent="0.4">
      <c r="A1920" s="21"/>
    </row>
    <row r="1921" spans="1:1" x14ac:dyDescent="0.4">
      <c r="A1921" s="21"/>
    </row>
    <row r="1922" spans="1:1" x14ac:dyDescent="0.4">
      <c r="A1922" s="21"/>
    </row>
    <row r="1923" spans="1:1" x14ac:dyDescent="0.4">
      <c r="A1923" s="21"/>
    </row>
    <row r="1924" spans="1:1" x14ac:dyDescent="0.4">
      <c r="A1924" s="21"/>
    </row>
    <row r="1925" spans="1:1" x14ac:dyDescent="0.4">
      <c r="A1925" s="21"/>
    </row>
    <row r="1926" spans="1:1" x14ac:dyDescent="0.4">
      <c r="A1926" s="21"/>
    </row>
    <row r="1927" spans="1:1" x14ac:dyDescent="0.4">
      <c r="A1927" s="21"/>
    </row>
    <row r="1928" spans="1:1" x14ac:dyDescent="0.4">
      <c r="A1928" s="21"/>
    </row>
    <row r="1929" spans="1:1" x14ac:dyDescent="0.4">
      <c r="A1929" s="21"/>
    </row>
    <row r="1930" spans="1:1" x14ac:dyDescent="0.4">
      <c r="A1930" s="21"/>
    </row>
    <row r="1931" spans="1:1" x14ac:dyDescent="0.4">
      <c r="A1931" s="21"/>
    </row>
    <row r="1932" spans="1:1" x14ac:dyDescent="0.4">
      <c r="A1932" s="21"/>
    </row>
    <row r="1933" spans="1:1" x14ac:dyDescent="0.4">
      <c r="A1933" s="21"/>
    </row>
    <row r="1934" spans="1:1" x14ac:dyDescent="0.4">
      <c r="A1934" s="21"/>
    </row>
    <row r="1935" spans="1:1" x14ac:dyDescent="0.4">
      <c r="A1935" s="21"/>
    </row>
    <row r="1936" spans="1:1" x14ac:dyDescent="0.4">
      <c r="A1936" s="21"/>
    </row>
    <row r="1937" spans="1:1" x14ac:dyDescent="0.4">
      <c r="A1937" s="21"/>
    </row>
    <row r="1938" spans="1:1" x14ac:dyDescent="0.4">
      <c r="A1938" s="21"/>
    </row>
    <row r="1939" spans="1:1" x14ac:dyDescent="0.4">
      <c r="A1939" s="21"/>
    </row>
    <row r="1940" spans="1:1" x14ac:dyDescent="0.4">
      <c r="A1940" s="21"/>
    </row>
    <row r="1941" spans="1:1" x14ac:dyDescent="0.4">
      <c r="A1941" s="21"/>
    </row>
    <row r="1942" spans="1:1" x14ac:dyDescent="0.4">
      <c r="A1942" s="21"/>
    </row>
    <row r="1943" spans="1:1" x14ac:dyDescent="0.4">
      <c r="A1943" s="21"/>
    </row>
    <row r="1944" spans="1:1" x14ac:dyDescent="0.4">
      <c r="A1944" s="21"/>
    </row>
    <row r="1945" spans="1:1" x14ac:dyDescent="0.4">
      <c r="A1945" s="21"/>
    </row>
    <row r="1946" spans="1:1" x14ac:dyDescent="0.4">
      <c r="A1946" s="21"/>
    </row>
    <row r="1947" spans="1:1" x14ac:dyDescent="0.4">
      <c r="A1947" s="21"/>
    </row>
    <row r="1948" spans="1:1" x14ac:dyDescent="0.4">
      <c r="A1948" s="21"/>
    </row>
    <row r="1949" spans="1:1" x14ac:dyDescent="0.4">
      <c r="A1949" s="21"/>
    </row>
    <row r="1950" spans="1:1" x14ac:dyDescent="0.4">
      <c r="A1950" s="21"/>
    </row>
    <row r="1951" spans="1:1" x14ac:dyDescent="0.4">
      <c r="A1951" s="21"/>
    </row>
    <row r="1952" spans="1:1" x14ac:dyDescent="0.4">
      <c r="A1952" s="21"/>
    </row>
    <row r="1953" spans="1:1" x14ac:dyDescent="0.4">
      <c r="A1953" s="21"/>
    </row>
    <row r="1954" spans="1:1" x14ac:dyDescent="0.4">
      <c r="A1954" s="21"/>
    </row>
    <row r="1955" spans="1:1" x14ac:dyDescent="0.4">
      <c r="A1955" s="21"/>
    </row>
    <row r="1956" spans="1:1" x14ac:dyDescent="0.4">
      <c r="A1956" s="21"/>
    </row>
    <row r="1957" spans="1:1" x14ac:dyDescent="0.4">
      <c r="A1957" s="21"/>
    </row>
    <row r="1958" spans="1:1" x14ac:dyDescent="0.4">
      <c r="A1958" s="21"/>
    </row>
    <row r="1959" spans="1:1" x14ac:dyDescent="0.4">
      <c r="A1959" s="21"/>
    </row>
    <row r="1960" spans="1:1" x14ac:dyDescent="0.4">
      <c r="A1960" s="21"/>
    </row>
    <row r="1961" spans="1:1" x14ac:dyDescent="0.4">
      <c r="A1961" s="21"/>
    </row>
    <row r="1962" spans="1:1" x14ac:dyDescent="0.4">
      <c r="A1962" s="21"/>
    </row>
    <row r="1963" spans="1:1" x14ac:dyDescent="0.4">
      <c r="A1963" s="21"/>
    </row>
    <row r="1964" spans="1:1" x14ac:dyDescent="0.4">
      <c r="A1964" s="21"/>
    </row>
    <row r="1965" spans="1:1" x14ac:dyDescent="0.4">
      <c r="A1965" s="21"/>
    </row>
    <row r="1966" spans="1:1" x14ac:dyDescent="0.4">
      <c r="A1966" s="21"/>
    </row>
    <row r="1967" spans="1:1" x14ac:dyDescent="0.4">
      <c r="A1967" s="21"/>
    </row>
    <row r="1968" spans="1:1" x14ac:dyDescent="0.4">
      <c r="A1968" s="21"/>
    </row>
    <row r="1969" spans="1:1" x14ac:dyDescent="0.4">
      <c r="A1969" s="21"/>
    </row>
    <row r="1970" spans="1:1" x14ac:dyDescent="0.4">
      <c r="A1970" s="21"/>
    </row>
    <row r="1971" spans="1:1" x14ac:dyDescent="0.4">
      <c r="A1971" s="21"/>
    </row>
    <row r="1972" spans="1:1" x14ac:dyDescent="0.4">
      <c r="A1972" s="21"/>
    </row>
    <row r="1973" spans="1:1" x14ac:dyDescent="0.4">
      <c r="A1973" s="21"/>
    </row>
    <row r="1974" spans="1:1" x14ac:dyDescent="0.4">
      <c r="A1974" s="21"/>
    </row>
    <row r="1975" spans="1:1" x14ac:dyDescent="0.4">
      <c r="A1975" s="21"/>
    </row>
    <row r="1976" spans="1:1" x14ac:dyDescent="0.4">
      <c r="A1976" s="21"/>
    </row>
    <row r="1977" spans="1:1" x14ac:dyDescent="0.4">
      <c r="A1977" s="21"/>
    </row>
    <row r="1978" spans="1:1" x14ac:dyDescent="0.4">
      <c r="A1978" s="21"/>
    </row>
    <row r="1979" spans="1:1" x14ac:dyDescent="0.4">
      <c r="A1979" s="21"/>
    </row>
    <row r="1980" spans="1:1" x14ac:dyDescent="0.4">
      <c r="A1980" s="21"/>
    </row>
    <row r="1981" spans="1:1" x14ac:dyDescent="0.4">
      <c r="A1981" s="21"/>
    </row>
    <row r="1982" spans="1:1" x14ac:dyDescent="0.4">
      <c r="A1982" s="21"/>
    </row>
    <row r="1983" spans="1:1" x14ac:dyDescent="0.4">
      <c r="A1983" s="21"/>
    </row>
    <row r="1984" spans="1:1" x14ac:dyDescent="0.4">
      <c r="A1984" s="21"/>
    </row>
    <row r="1985" spans="1:1" x14ac:dyDescent="0.4">
      <c r="A1985" s="21"/>
    </row>
    <row r="1986" spans="1:1" x14ac:dyDescent="0.4">
      <c r="A1986" s="21"/>
    </row>
    <row r="1987" spans="1:1" x14ac:dyDescent="0.4">
      <c r="A1987" s="21"/>
    </row>
    <row r="1988" spans="1:1" x14ac:dyDescent="0.4">
      <c r="A1988" s="21"/>
    </row>
    <row r="1989" spans="1:1" x14ac:dyDescent="0.4">
      <c r="A1989" s="21"/>
    </row>
    <row r="1990" spans="1:1" x14ac:dyDescent="0.4">
      <c r="A1990" s="21"/>
    </row>
    <row r="1991" spans="1:1" x14ac:dyDescent="0.4">
      <c r="A1991" s="21"/>
    </row>
    <row r="1992" spans="1:1" x14ac:dyDescent="0.4">
      <c r="A1992" s="21"/>
    </row>
    <row r="1993" spans="1:1" x14ac:dyDescent="0.4">
      <c r="A1993" s="21"/>
    </row>
    <row r="1994" spans="1:1" x14ac:dyDescent="0.4">
      <c r="A1994" s="21"/>
    </row>
    <row r="1995" spans="1:1" x14ac:dyDescent="0.4">
      <c r="A1995" s="21"/>
    </row>
    <row r="1996" spans="1:1" x14ac:dyDescent="0.4">
      <c r="A1996" s="21"/>
    </row>
    <row r="1997" spans="1:1" x14ac:dyDescent="0.4">
      <c r="A1997" s="21"/>
    </row>
    <row r="1998" spans="1:1" x14ac:dyDescent="0.4">
      <c r="A1998" s="21"/>
    </row>
    <row r="1999" spans="1:1" x14ac:dyDescent="0.4">
      <c r="A1999" s="21"/>
    </row>
    <row r="2000" spans="1:1" x14ac:dyDescent="0.4">
      <c r="A2000" s="21"/>
    </row>
    <row r="2001" spans="1:1" x14ac:dyDescent="0.4">
      <c r="A2001" s="21"/>
    </row>
    <row r="2002" spans="1:1" x14ac:dyDescent="0.4">
      <c r="A2002" s="21"/>
    </row>
    <row r="2003" spans="1:1" x14ac:dyDescent="0.4">
      <c r="A2003" s="21"/>
    </row>
    <row r="2004" spans="1:1" x14ac:dyDescent="0.4">
      <c r="A2004" s="21"/>
    </row>
  </sheetData>
  <conditionalFormatting sqref="B1:O1">
    <cfRule type="cellIs" dxfId="1" priority="2" operator="between">
      <formula>-5</formula>
      <formula>5</formula>
    </cfRule>
  </conditionalFormatting>
  <conditionalFormatting sqref="C2:O3">
    <cfRule type="cellIs" dxfId="0" priority="1" operator="between">
      <formula>-5</formula>
      <formula>5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CC7A3635-33D7-4CB1-AB68-35F7E084FCBE}">
          <x14:formula1>
            <xm:f>codes!$A$2:$A$26</xm:f>
          </x14:formula1>
          <xm:sqref>A6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05B7-1D1A-4C7A-9245-EC6C93DE85AD}">
  <dimension ref="A1:O52"/>
  <sheetViews>
    <sheetView workbookViewId="0">
      <selection activeCell="G26" sqref="G26"/>
    </sheetView>
  </sheetViews>
  <sheetFormatPr defaultRowHeight="12.3" x14ac:dyDescent="0.4"/>
  <cols>
    <col min="1" max="1" width="7.27734375" bestFit="1" customWidth="1"/>
    <col min="2" max="2" width="25.71875" bestFit="1" customWidth="1"/>
    <col min="3" max="11" width="7.77734375" bestFit="1" customWidth="1"/>
    <col min="12" max="14" width="8.77734375" bestFit="1" customWidth="1"/>
    <col min="15" max="15" width="6.88671875" bestFit="1" customWidth="1"/>
  </cols>
  <sheetData>
    <row r="1" spans="1:15" x14ac:dyDescent="0.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 x14ac:dyDescent="0.4">
      <c r="B2" t="s">
        <v>1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64</v>
      </c>
      <c r="O2" t="s">
        <v>64</v>
      </c>
    </row>
    <row r="3" spans="1:15" x14ac:dyDescent="0.4">
      <c r="A3" t="s">
        <v>2</v>
      </c>
      <c r="B3" t="s">
        <v>3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</row>
    <row r="4" spans="1:15" x14ac:dyDescent="0.4">
      <c r="A4" t="s">
        <v>4</v>
      </c>
      <c r="B4" t="s">
        <v>5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</row>
    <row r="5" spans="1:15" x14ac:dyDescent="0.4">
      <c r="A5" t="s">
        <v>6</v>
      </c>
      <c r="B5" t="s">
        <v>7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64</v>
      </c>
      <c r="O5" t="s">
        <v>64</v>
      </c>
    </row>
    <row r="6" spans="1:15" x14ac:dyDescent="0.4">
      <c r="A6" t="s">
        <v>8</v>
      </c>
      <c r="B6" t="s">
        <v>9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64</v>
      </c>
      <c r="O6" t="s">
        <v>64</v>
      </c>
    </row>
    <row r="7" spans="1:15" x14ac:dyDescent="0.4">
      <c r="A7" t="s">
        <v>10</v>
      </c>
      <c r="B7" t="s">
        <v>11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64</v>
      </c>
      <c r="O7" t="s">
        <v>64</v>
      </c>
    </row>
    <row r="8" spans="1:15" x14ac:dyDescent="0.4">
      <c r="A8" t="s">
        <v>12</v>
      </c>
      <c r="B8" t="s">
        <v>13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64</v>
      </c>
    </row>
    <row r="9" spans="1:15" x14ac:dyDescent="0.4">
      <c r="A9" t="s">
        <v>14</v>
      </c>
      <c r="B9" t="s">
        <v>15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</row>
    <row r="10" spans="1:15" x14ac:dyDescent="0.4">
      <c r="A10" t="s">
        <v>16</v>
      </c>
      <c r="B10" t="s">
        <v>17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64</v>
      </c>
      <c r="O10" t="s">
        <v>64</v>
      </c>
    </row>
    <row r="11" spans="1:15" x14ac:dyDescent="0.4">
      <c r="A11" t="s">
        <v>18</v>
      </c>
      <c r="B11" t="s">
        <v>19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64</v>
      </c>
      <c r="O11" t="s">
        <v>64</v>
      </c>
    </row>
    <row r="12" spans="1:15" x14ac:dyDescent="0.4"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</row>
    <row r="13" spans="1:15" x14ac:dyDescent="0.4">
      <c r="B13" t="s">
        <v>20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</row>
    <row r="14" spans="1:15" x14ac:dyDescent="0.4">
      <c r="A14" t="s">
        <v>21</v>
      </c>
      <c r="B14" t="s">
        <v>22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64</v>
      </c>
      <c r="O14" t="s">
        <v>64</v>
      </c>
    </row>
    <row r="15" spans="1:15" x14ac:dyDescent="0.4">
      <c r="A15" t="s">
        <v>23</v>
      </c>
      <c r="B15" t="s">
        <v>24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64</v>
      </c>
      <c r="O15" t="s">
        <v>64</v>
      </c>
    </row>
    <row r="16" spans="1:15" x14ac:dyDescent="0.4">
      <c r="A16" t="s">
        <v>25</v>
      </c>
      <c r="B16" t="s">
        <v>26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  <c r="O16" t="s">
        <v>64</v>
      </c>
    </row>
    <row r="17" spans="1:15" x14ac:dyDescent="0.4">
      <c r="A17" t="s">
        <v>27</v>
      </c>
      <c r="B17" t="s">
        <v>28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</row>
    <row r="18" spans="1:15" x14ac:dyDescent="0.4">
      <c r="A18" t="s">
        <v>29</v>
      </c>
      <c r="B18" t="s">
        <v>30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</row>
    <row r="19" spans="1:15" x14ac:dyDescent="0.4">
      <c r="A19" t="s">
        <v>31</v>
      </c>
      <c r="B19" t="s">
        <v>32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</row>
    <row r="20" spans="1:15" x14ac:dyDescent="0.4">
      <c r="A20" t="s">
        <v>33</v>
      </c>
      <c r="B20" t="s">
        <v>34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  <c r="O20" t="s">
        <v>64</v>
      </c>
    </row>
    <row r="21" spans="1:15" x14ac:dyDescent="0.4">
      <c r="A21" t="s">
        <v>35</v>
      </c>
      <c r="B21" t="s">
        <v>36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64</v>
      </c>
      <c r="O21" t="s">
        <v>64</v>
      </c>
    </row>
    <row r="22" spans="1:15" x14ac:dyDescent="0.4">
      <c r="A22" t="s">
        <v>37</v>
      </c>
      <c r="B22" t="s">
        <v>38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64</v>
      </c>
      <c r="O22" t="s">
        <v>64</v>
      </c>
    </row>
    <row r="23" spans="1:15" x14ac:dyDescent="0.4">
      <c r="A23" t="s">
        <v>39</v>
      </c>
      <c r="B23" t="s">
        <v>40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64</v>
      </c>
      <c r="O23" t="s">
        <v>64</v>
      </c>
    </row>
    <row r="24" spans="1:15" x14ac:dyDescent="0.4">
      <c r="A24" t="s">
        <v>41</v>
      </c>
      <c r="B24" t="s">
        <v>42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64</v>
      </c>
      <c r="O24" t="s">
        <v>64</v>
      </c>
    </row>
    <row r="25" spans="1:15" x14ac:dyDescent="0.4">
      <c r="A25" t="s">
        <v>43</v>
      </c>
      <c r="B25" t="s">
        <v>44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64</v>
      </c>
      <c r="O25" t="s">
        <v>64</v>
      </c>
    </row>
    <row r="26" spans="1:15" x14ac:dyDescent="0.4">
      <c r="A26" t="s">
        <v>45</v>
      </c>
      <c r="B26" t="s">
        <v>46</v>
      </c>
      <c r="C26" t="s">
        <v>64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  <c r="O26" t="s">
        <v>64</v>
      </c>
    </row>
    <row r="27" spans="1:15" x14ac:dyDescent="0.4">
      <c r="C27" t="s">
        <v>64</v>
      </c>
      <c r="D27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64</v>
      </c>
      <c r="O27" t="s">
        <v>64</v>
      </c>
    </row>
    <row r="28" spans="1:15" x14ac:dyDescent="0.4">
      <c r="A28" t="s">
        <v>47</v>
      </c>
      <c r="B28" t="s">
        <v>48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  <c r="O28" t="s">
        <v>64</v>
      </c>
    </row>
    <row r="29" spans="1:15" x14ac:dyDescent="0.4"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64</v>
      </c>
      <c r="O29" t="s">
        <v>64</v>
      </c>
    </row>
    <row r="30" spans="1:15" x14ac:dyDescent="0.4"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  <c r="O30" t="s">
        <v>64</v>
      </c>
    </row>
    <row r="31" spans="1:15" x14ac:dyDescent="0.4"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64</v>
      </c>
      <c r="O31" t="s">
        <v>64</v>
      </c>
    </row>
    <row r="32" spans="1:15" x14ac:dyDescent="0.4">
      <c r="C32" t="s">
        <v>64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64</v>
      </c>
      <c r="O32" t="s">
        <v>64</v>
      </c>
    </row>
    <row r="33" spans="3:15" x14ac:dyDescent="0.4"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64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64</v>
      </c>
      <c r="O33" t="s">
        <v>64</v>
      </c>
    </row>
    <row r="34" spans="3:15" x14ac:dyDescent="0.4"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64</v>
      </c>
      <c r="O34" t="s">
        <v>64</v>
      </c>
    </row>
    <row r="35" spans="3:15" x14ac:dyDescent="0.4"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64</v>
      </c>
      <c r="O35" t="s">
        <v>64</v>
      </c>
    </row>
    <row r="36" spans="3:15" x14ac:dyDescent="0.4"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  <c r="O36" t="s">
        <v>64</v>
      </c>
    </row>
    <row r="37" spans="3:15" x14ac:dyDescent="0.4"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64</v>
      </c>
      <c r="O37" t="s">
        <v>64</v>
      </c>
    </row>
    <row r="38" spans="3:15" x14ac:dyDescent="0.4"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64</v>
      </c>
      <c r="O38" t="s">
        <v>64</v>
      </c>
    </row>
    <row r="39" spans="3:15" x14ac:dyDescent="0.4"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  <c r="O39" t="s">
        <v>64</v>
      </c>
    </row>
    <row r="40" spans="3:15" x14ac:dyDescent="0.4"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64</v>
      </c>
      <c r="O40" t="s">
        <v>64</v>
      </c>
    </row>
    <row r="41" spans="3:15" x14ac:dyDescent="0.4"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64</v>
      </c>
      <c r="O41" t="s">
        <v>64</v>
      </c>
    </row>
    <row r="42" spans="3:15" x14ac:dyDescent="0.4"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64</v>
      </c>
      <c r="O42" t="s">
        <v>64</v>
      </c>
    </row>
    <row r="43" spans="3:15" x14ac:dyDescent="0.4"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64</v>
      </c>
      <c r="O43" t="s">
        <v>64</v>
      </c>
    </row>
    <row r="44" spans="3:15" x14ac:dyDescent="0.4"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64</v>
      </c>
      <c r="O44" t="s">
        <v>64</v>
      </c>
    </row>
    <row r="45" spans="3:15" x14ac:dyDescent="0.4"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64</v>
      </c>
      <c r="O45" t="s">
        <v>64</v>
      </c>
    </row>
    <row r="46" spans="3:15" x14ac:dyDescent="0.4"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64</v>
      </c>
      <c r="O46" t="s">
        <v>64</v>
      </c>
    </row>
    <row r="47" spans="3:15" x14ac:dyDescent="0.4"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64</v>
      </c>
      <c r="O47" t="s">
        <v>64</v>
      </c>
    </row>
    <row r="48" spans="3:15" x14ac:dyDescent="0.4">
      <c r="C48" t="s">
        <v>64</v>
      </c>
      <c r="D48" t="s">
        <v>64</v>
      </c>
      <c r="E48" t="s">
        <v>64</v>
      </c>
      <c r="F48" t="s">
        <v>64</v>
      </c>
      <c r="G48" t="s">
        <v>64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64</v>
      </c>
      <c r="N48" t="s">
        <v>64</v>
      </c>
      <c r="O48" t="s">
        <v>64</v>
      </c>
    </row>
    <row r="49" spans="1:15" x14ac:dyDescent="0.4"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64</v>
      </c>
      <c r="O49" t="s">
        <v>64</v>
      </c>
    </row>
    <row r="50" spans="1:15" x14ac:dyDescent="0.4"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64</v>
      </c>
      <c r="O50" t="s">
        <v>64</v>
      </c>
    </row>
    <row r="51" spans="1:15" x14ac:dyDescent="0.4">
      <c r="C51" t="s">
        <v>64</v>
      </c>
      <c r="D51" t="s">
        <v>64</v>
      </c>
      <c r="E51" t="s">
        <v>64</v>
      </c>
      <c r="F51" t="s">
        <v>64</v>
      </c>
      <c r="G51" t="s">
        <v>64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64</v>
      </c>
      <c r="O51" t="s">
        <v>64</v>
      </c>
    </row>
    <row r="52" spans="1:15" x14ac:dyDescent="0.4">
      <c r="A52" t="s">
        <v>64</v>
      </c>
      <c r="B52" t="s">
        <v>64</v>
      </c>
      <c r="C52" t="s">
        <v>64</v>
      </c>
      <c r="D52" t="s">
        <v>64</v>
      </c>
      <c r="E52" t="s">
        <v>64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64</v>
      </c>
      <c r="O52" t="s">
        <v>64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F9EC-4ABA-4A66-B6B4-95943BA3F1F4}">
  <dimension ref="A1:B27"/>
  <sheetViews>
    <sheetView workbookViewId="0"/>
  </sheetViews>
  <sheetFormatPr defaultRowHeight="12.3" x14ac:dyDescent="0.4"/>
  <cols>
    <col min="2" max="2" width="25.71875" bestFit="1" customWidth="1"/>
  </cols>
  <sheetData>
    <row r="1" spans="1:2" x14ac:dyDescent="0.4">
      <c r="A1" s="7"/>
      <c r="B1" s="8" t="s">
        <v>1</v>
      </c>
    </row>
    <row r="2" spans="1:2" x14ac:dyDescent="0.4">
      <c r="A2" s="9" t="s">
        <v>2</v>
      </c>
      <c r="B2" s="10" t="s">
        <v>3</v>
      </c>
    </row>
    <row r="3" spans="1:2" x14ac:dyDescent="0.4">
      <c r="A3" s="7" t="s">
        <v>4</v>
      </c>
      <c r="B3" s="8" t="s">
        <v>5</v>
      </c>
    </row>
    <row r="4" spans="1:2" x14ac:dyDescent="0.4">
      <c r="A4" s="9" t="s">
        <v>6</v>
      </c>
      <c r="B4" s="10" t="s">
        <v>7</v>
      </c>
    </row>
    <row r="5" spans="1:2" x14ac:dyDescent="0.4">
      <c r="A5" s="7" t="s">
        <v>8</v>
      </c>
      <c r="B5" s="8" t="s">
        <v>9</v>
      </c>
    </row>
    <row r="6" spans="1:2" x14ac:dyDescent="0.4">
      <c r="A6" s="9" t="s">
        <v>10</v>
      </c>
      <c r="B6" s="10" t="s">
        <v>11</v>
      </c>
    </row>
    <row r="7" spans="1:2" x14ac:dyDescent="0.4">
      <c r="A7" s="7" t="s">
        <v>12</v>
      </c>
      <c r="B7" s="8" t="s">
        <v>13</v>
      </c>
    </row>
    <row r="8" spans="1:2" x14ac:dyDescent="0.4">
      <c r="A8" s="9" t="s">
        <v>14</v>
      </c>
      <c r="B8" s="10" t="s">
        <v>15</v>
      </c>
    </row>
    <row r="9" spans="1:2" x14ac:dyDescent="0.4">
      <c r="A9" s="7" t="s">
        <v>16</v>
      </c>
      <c r="B9" s="8" t="s">
        <v>17</v>
      </c>
    </row>
    <row r="10" spans="1:2" x14ac:dyDescent="0.4">
      <c r="A10" s="9" t="s">
        <v>18</v>
      </c>
      <c r="B10" s="10" t="s">
        <v>19</v>
      </c>
    </row>
    <row r="11" spans="1:2" x14ac:dyDescent="0.4">
      <c r="A11" s="7"/>
      <c r="B11" s="8"/>
    </row>
    <row r="12" spans="1:2" x14ac:dyDescent="0.4">
      <c r="A12" s="9"/>
      <c r="B12" s="10" t="s">
        <v>20</v>
      </c>
    </row>
    <row r="13" spans="1:2" x14ac:dyDescent="0.4">
      <c r="A13" s="7" t="s">
        <v>21</v>
      </c>
      <c r="B13" s="8" t="s">
        <v>22</v>
      </c>
    </row>
    <row r="14" spans="1:2" x14ac:dyDescent="0.4">
      <c r="A14" s="9" t="s">
        <v>23</v>
      </c>
      <c r="B14" s="10" t="s">
        <v>24</v>
      </c>
    </row>
    <row r="15" spans="1:2" x14ac:dyDescent="0.4">
      <c r="A15" s="7" t="s">
        <v>25</v>
      </c>
      <c r="B15" s="8" t="s">
        <v>26</v>
      </c>
    </row>
    <row r="16" spans="1:2" x14ac:dyDescent="0.4">
      <c r="A16" s="9" t="s">
        <v>27</v>
      </c>
      <c r="B16" s="10" t="s">
        <v>28</v>
      </c>
    </row>
    <row r="17" spans="1:2" x14ac:dyDescent="0.4">
      <c r="A17" s="7" t="s">
        <v>29</v>
      </c>
      <c r="B17" s="8" t="s">
        <v>30</v>
      </c>
    </row>
    <row r="18" spans="1:2" x14ac:dyDescent="0.4">
      <c r="A18" s="9" t="s">
        <v>31</v>
      </c>
      <c r="B18" s="10" t="s">
        <v>32</v>
      </c>
    </row>
    <row r="19" spans="1:2" x14ac:dyDescent="0.4">
      <c r="A19" s="7" t="s">
        <v>33</v>
      </c>
      <c r="B19" s="8" t="s">
        <v>34</v>
      </c>
    </row>
    <row r="20" spans="1:2" x14ac:dyDescent="0.4">
      <c r="A20" s="9" t="s">
        <v>35</v>
      </c>
      <c r="B20" s="10" t="s">
        <v>36</v>
      </c>
    </row>
    <row r="21" spans="1:2" x14ac:dyDescent="0.4">
      <c r="A21" s="7" t="s">
        <v>37</v>
      </c>
      <c r="B21" s="8" t="s">
        <v>38</v>
      </c>
    </row>
    <row r="22" spans="1:2" x14ac:dyDescent="0.4">
      <c r="A22" s="9" t="s">
        <v>39</v>
      </c>
      <c r="B22" s="10" t="s">
        <v>40</v>
      </c>
    </row>
    <row r="23" spans="1:2" x14ac:dyDescent="0.4">
      <c r="A23" s="7" t="s">
        <v>41</v>
      </c>
      <c r="B23" s="8" t="s">
        <v>42</v>
      </c>
    </row>
    <row r="24" spans="1:2" x14ac:dyDescent="0.4">
      <c r="A24" s="9" t="s">
        <v>43</v>
      </c>
      <c r="B24" s="10" t="s">
        <v>44</v>
      </c>
    </row>
    <row r="25" spans="1:2" x14ac:dyDescent="0.4">
      <c r="A25" s="7" t="s">
        <v>45</v>
      </c>
      <c r="B25" s="8" t="s">
        <v>46</v>
      </c>
    </row>
    <row r="26" spans="1:2" x14ac:dyDescent="0.4">
      <c r="A26" s="9"/>
      <c r="B26" s="10"/>
    </row>
    <row r="27" spans="1:2" x14ac:dyDescent="0.4">
      <c r="A27" s="7" t="s">
        <v>47</v>
      </c>
      <c r="B27" s="8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622F-03B6-4F6F-821E-646EC78739AF}">
  <dimension ref="A1:O110"/>
  <sheetViews>
    <sheetView workbookViewId="0">
      <selection activeCell="C12" sqref="C12"/>
    </sheetView>
  </sheetViews>
  <sheetFormatPr defaultRowHeight="12.3" x14ac:dyDescent="0.4"/>
  <cols>
    <col min="1" max="1" width="7.27734375" bestFit="1" customWidth="1"/>
    <col min="2" max="2" width="37.44140625" bestFit="1" customWidth="1"/>
    <col min="3" max="6" width="9.33203125" bestFit="1" customWidth="1"/>
    <col min="7" max="7" width="8.71875" bestFit="1" customWidth="1"/>
    <col min="8" max="12" width="9.71875" bestFit="1" customWidth="1"/>
    <col min="13" max="13" width="8.77734375" bestFit="1" customWidth="1"/>
    <col min="14" max="14" width="9.71875" bestFit="1" customWidth="1"/>
    <col min="15" max="15" width="10.71875" bestFit="1" customWidth="1"/>
    <col min="16" max="16" width="6.77734375" bestFit="1" customWidth="1"/>
    <col min="17" max="17" width="39.6640625" bestFit="1" customWidth="1"/>
    <col min="18" max="18" width="10.6640625" bestFit="1" customWidth="1"/>
    <col min="19" max="19" width="11.21875" bestFit="1" customWidth="1"/>
    <col min="20" max="20" width="10.77734375" bestFit="1" customWidth="1"/>
    <col min="21" max="21" width="10.1640625" bestFit="1" customWidth="1"/>
    <col min="22" max="22" width="11.0546875" bestFit="1" customWidth="1"/>
    <col min="23" max="23" width="10.88671875" bestFit="1" customWidth="1"/>
    <col min="24" max="24" width="10.5546875" bestFit="1" customWidth="1"/>
    <col min="25" max="25" width="11" bestFit="1" customWidth="1"/>
    <col min="26" max="26" width="10.83203125" bestFit="1" customWidth="1"/>
    <col min="27" max="27" width="10.6640625" bestFit="1" customWidth="1"/>
    <col min="28" max="28" width="10.77734375" bestFit="1" customWidth="1"/>
    <col min="29" max="29" width="10.88671875" bestFit="1" customWidth="1"/>
    <col min="30" max="33" width="10.77734375" bestFit="1" customWidth="1"/>
    <col min="34" max="34" width="7.27734375" bestFit="1" customWidth="1"/>
    <col min="35" max="35" width="39.6640625" bestFit="1" customWidth="1"/>
    <col min="36" max="44" width="8.71875" bestFit="1" customWidth="1"/>
    <col min="45" max="47" width="8.77734375" bestFit="1" customWidth="1"/>
    <col min="48" max="48" width="9.71875" bestFit="1" customWidth="1"/>
    <col min="49" max="49" width="6.77734375" bestFit="1" customWidth="1"/>
    <col min="50" max="50" width="39.6640625" bestFit="1" customWidth="1"/>
    <col min="51" max="51" width="10.6640625" bestFit="1" customWidth="1"/>
    <col min="52" max="52" width="11.21875" bestFit="1" customWidth="1"/>
    <col min="53" max="53" width="10.77734375" bestFit="1" customWidth="1"/>
    <col min="54" max="54" width="10.1640625" bestFit="1" customWidth="1"/>
    <col min="55" max="55" width="11.0546875" bestFit="1" customWidth="1"/>
    <col min="56" max="56" width="10.88671875" bestFit="1" customWidth="1"/>
    <col min="57" max="57" width="10.5546875" bestFit="1" customWidth="1"/>
    <col min="58" max="58" width="11" bestFit="1" customWidth="1"/>
    <col min="59" max="59" width="10.83203125" bestFit="1" customWidth="1"/>
    <col min="60" max="60" width="10.6640625" bestFit="1" customWidth="1"/>
    <col min="61" max="61" width="10.77734375" bestFit="1" customWidth="1"/>
    <col min="62" max="62" width="10.88671875" bestFit="1" customWidth="1"/>
    <col min="63" max="63" width="10.77734375" bestFit="1" customWidth="1"/>
    <col min="64" max="64" width="7.27734375" bestFit="1" customWidth="1"/>
    <col min="65" max="65" width="25.71875" bestFit="1" customWidth="1"/>
    <col min="66" max="77" width="9.6640625" bestFit="1" customWidth="1"/>
    <col min="78" max="78" width="8.71875" bestFit="1" customWidth="1"/>
  </cols>
  <sheetData>
    <row r="1" spans="1:15" x14ac:dyDescent="0.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 x14ac:dyDescent="0.4">
      <c r="A2" t="s">
        <v>66</v>
      </c>
      <c r="B2" t="s">
        <v>98</v>
      </c>
      <c r="C2">
        <v>45809</v>
      </c>
      <c r="D2">
        <v>45839</v>
      </c>
      <c r="E2">
        <v>45870</v>
      </c>
      <c r="F2">
        <v>45901</v>
      </c>
      <c r="G2">
        <v>45931</v>
      </c>
      <c r="H2">
        <v>45962</v>
      </c>
      <c r="I2">
        <v>45992</v>
      </c>
      <c r="J2">
        <v>46023</v>
      </c>
      <c r="K2">
        <v>46054</v>
      </c>
      <c r="L2">
        <v>46082</v>
      </c>
      <c r="M2">
        <v>46113</v>
      </c>
      <c r="N2">
        <v>46143</v>
      </c>
      <c r="O2" t="s">
        <v>119</v>
      </c>
    </row>
    <row r="3" spans="1:15" x14ac:dyDescent="0.4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</row>
    <row r="4" spans="1:15" x14ac:dyDescent="0.4">
      <c r="A4" t="s">
        <v>2</v>
      </c>
      <c r="B4" t="s">
        <v>3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</row>
    <row r="5" spans="1:15" x14ac:dyDescent="0.4">
      <c r="A5" t="s">
        <v>2</v>
      </c>
      <c r="B5" t="s">
        <v>122</v>
      </c>
      <c r="C5">
        <v>98319</v>
      </c>
      <c r="D5">
        <v>98319</v>
      </c>
      <c r="E5">
        <v>98319</v>
      </c>
      <c r="F5">
        <v>98319</v>
      </c>
      <c r="G5">
        <v>98319</v>
      </c>
      <c r="H5">
        <v>98319</v>
      </c>
      <c r="I5">
        <v>98319</v>
      </c>
      <c r="J5">
        <v>98319</v>
      </c>
      <c r="K5">
        <v>98319</v>
      </c>
      <c r="L5">
        <v>98319</v>
      </c>
      <c r="M5">
        <v>98319</v>
      </c>
      <c r="N5">
        <v>98319</v>
      </c>
      <c r="O5">
        <v>1179828</v>
      </c>
    </row>
    <row r="6" spans="1:15" x14ac:dyDescent="0.4">
      <c r="A6" t="s">
        <v>4</v>
      </c>
      <c r="B6" t="s">
        <v>5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64</v>
      </c>
      <c r="O6" t="s">
        <v>64</v>
      </c>
    </row>
    <row r="7" spans="1:15" x14ac:dyDescent="0.4">
      <c r="A7" t="s">
        <v>4</v>
      </c>
      <c r="B7" t="s">
        <v>123</v>
      </c>
      <c r="C7">
        <v>-7470</v>
      </c>
      <c r="D7">
        <v>-5694</v>
      </c>
      <c r="E7">
        <v>-4199</v>
      </c>
      <c r="F7">
        <v>-3850</v>
      </c>
      <c r="G7">
        <v>-4278</v>
      </c>
      <c r="H7">
        <v>-4164</v>
      </c>
      <c r="I7">
        <v>-4094</v>
      </c>
      <c r="J7">
        <v>-5332</v>
      </c>
      <c r="K7">
        <v>-3695</v>
      </c>
      <c r="L7">
        <v>-3174</v>
      </c>
      <c r="M7">
        <v>-3385</v>
      </c>
      <c r="N7">
        <v>-3248</v>
      </c>
      <c r="O7">
        <v>-52583</v>
      </c>
    </row>
    <row r="8" spans="1:15" x14ac:dyDescent="0.4">
      <c r="A8" t="s">
        <v>6</v>
      </c>
      <c r="B8" t="s">
        <v>7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64</v>
      </c>
    </row>
    <row r="9" spans="1:15" x14ac:dyDescent="0.4">
      <c r="A9" t="s">
        <v>6</v>
      </c>
      <c r="B9" t="s">
        <v>206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-1.83</v>
      </c>
      <c r="N9">
        <v>-5</v>
      </c>
      <c r="O9">
        <v>-6.83</v>
      </c>
    </row>
    <row r="10" spans="1:15" x14ac:dyDescent="0.4">
      <c r="A10" t="s">
        <v>8</v>
      </c>
      <c r="B10" t="s">
        <v>9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64</v>
      </c>
      <c r="O10" t="s">
        <v>64</v>
      </c>
    </row>
    <row r="11" spans="1:15" x14ac:dyDescent="0.4">
      <c r="A11" t="s">
        <v>8</v>
      </c>
      <c r="B11" t="s">
        <v>126</v>
      </c>
      <c r="C11">
        <v>-13725.89</v>
      </c>
      <c r="D11">
        <v>-14532.17</v>
      </c>
      <c r="E11">
        <v>-25005.29</v>
      </c>
      <c r="F11">
        <v>-18833.490000000002</v>
      </c>
      <c r="G11">
        <v>-7135.31</v>
      </c>
      <c r="H11">
        <v>-3387.5</v>
      </c>
      <c r="I11">
        <v>-2806.89</v>
      </c>
      <c r="J11">
        <v>-105.42</v>
      </c>
      <c r="K11">
        <v>-1181.42</v>
      </c>
      <c r="L11">
        <v>-2687.1</v>
      </c>
      <c r="M11">
        <v>-3492.74</v>
      </c>
      <c r="N11">
        <v>-2583</v>
      </c>
      <c r="O11">
        <v>-95476.22</v>
      </c>
    </row>
    <row r="12" spans="1:15" x14ac:dyDescent="0.4">
      <c r="A12" t="s">
        <v>8</v>
      </c>
      <c r="B12" t="s">
        <v>127</v>
      </c>
      <c r="C12">
        <v>0</v>
      </c>
      <c r="D12">
        <v>0</v>
      </c>
      <c r="E12">
        <v>0</v>
      </c>
      <c r="F12">
        <v>0</v>
      </c>
      <c r="G12">
        <v>-99.86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-99.86</v>
      </c>
    </row>
    <row r="13" spans="1:15" x14ac:dyDescent="0.4">
      <c r="A13" t="s">
        <v>10</v>
      </c>
      <c r="B13" t="s">
        <v>11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</row>
    <row r="14" spans="1:15" x14ac:dyDescent="0.4">
      <c r="A14" t="s">
        <v>10</v>
      </c>
      <c r="B14" t="s">
        <v>128</v>
      </c>
      <c r="C14">
        <v>732.09</v>
      </c>
      <c r="D14">
        <v>5.94</v>
      </c>
      <c r="E14">
        <v>-2385.7399999999998</v>
      </c>
      <c r="F14">
        <v>789.69</v>
      </c>
      <c r="G14">
        <v>1159.4100000000001</v>
      </c>
      <c r="H14">
        <v>-2248.4499999999998</v>
      </c>
      <c r="I14">
        <v>960.86</v>
      </c>
      <c r="J14">
        <v>64.260000000000005</v>
      </c>
      <c r="K14">
        <v>-1337.56</v>
      </c>
      <c r="L14">
        <v>-133.27000000000001</v>
      </c>
      <c r="M14">
        <v>865.34</v>
      </c>
      <c r="N14">
        <v>-785.12</v>
      </c>
      <c r="O14">
        <v>-2312.5500000000002</v>
      </c>
    </row>
    <row r="15" spans="1:15" x14ac:dyDescent="0.4">
      <c r="A15" t="s">
        <v>10</v>
      </c>
      <c r="B15" t="s">
        <v>129</v>
      </c>
      <c r="C15">
        <v>-7210.84</v>
      </c>
      <c r="D15">
        <v>-15776.46</v>
      </c>
      <c r="E15">
        <v>-13010.57</v>
      </c>
      <c r="F15">
        <v>1307.3599999999999</v>
      </c>
      <c r="G15">
        <v>-4534.37</v>
      </c>
      <c r="H15">
        <v>2586.83</v>
      </c>
      <c r="I15">
        <v>-1844.19</v>
      </c>
      <c r="J15">
        <v>-1177.1500000000001</v>
      </c>
      <c r="K15">
        <v>428.94</v>
      </c>
      <c r="L15">
        <v>-1032.18</v>
      </c>
      <c r="M15">
        <v>66.59</v>
      </c>
      <c r="N15">
        <v>-368.77</v>
      </c>
      <c r="O15">
        <v>-40564.81</v>
      </c>
    </row>
    <row r="16" spans="1:15" x14ac:dyDescent="0.4">
      <c r="A16" t="s">
        <v>12</v>
      </c>
      <c r="B16" t="s">
        <v>13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  <c r="O16" t="s">
        <v>64</v>
      </c>
    </row>
    <row r="17" spans="1:15" x14ac:dyDescent="0.4">
      <c r="A17" t="s">
        <v>12</v>
      </c>
      <c r="B17" t="s">
        <v>142</v>
      </c>
      <c r="C17">
        <v>0</v>
      </c>
      <c r="D17">
        <v>0</v>
      </c>
      <c r="E17">
        <v>0</v>
      </c>
      <c r="F17">
        <v>0</v>
      </c>
      <c r="G17">
        <v>2670</v>
      </c>
      <c r="H17">
        <v>4240</v>
      </c>
      <c r="I17">
        <v>4151</v>
      </c>
      <c r="J17">
        <v>0</v>
      </c>
      <c r="K17">
        <v>0</v>
      </c>
      <c r="L17">
        <v>0</v>
      </c>
      <c r="M17">
        <v>0</v>
      </c>
      <c r="N17">
        <v>0</v>
      </c>
      <c r="O17">
        <v>11061</v>
      </c>
    </row>
    <row r="18" spans="1:15" x14ac:dyDescent="0.4">
      <c r="A18" t="s">
        <v>14</v>
      </c>
      <c r="B18" t="s">
        <v>15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</row>
    <row r="19" spans="1:15" x14ac:dyDescent="0.4">
      <c r="A19" t="s">
        <v>72</v>
      </c>
      <c r="B19" t="s">
        <v>143</v>
      </c>
      <c r="C19">
        <v>1148.04</v>
      </c>
      <c r="D19">
        <v>1127.42</v>
      </c>
      <c r="E19">
        <v>818.24</v>
      </c>
      <c r="F19">
        <v>919.17</v>
      </c>
      <c r="G19">
        <v>760.65</v>
      </c>
      <c r="H19">
        <v>705.83</v>
      </c>
      <c r="I19">
        <v>760</v>
      </c>
      <c r="J19">
        <v>0</v>
      </c>
      <c r="K19">
        <v>0</v>
      </c>
      <c r="L19">
        <v>0</v>
      </c>
      <c r="M19">
        <v>0</v>
      </c>
      <c r="N19">
        <v>0</v>
      </c>
      <c r="O19">
        <v>6239.35</v>
      </c>
    </row>
    <row r="20" spans="1:15" x14ac:dyDescent="0.4">
      <c r="A20" t="s">
        <v>16</v>
      </c>
      <c r="B20" t="s">
        <v>17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  <c r="O20" t="s">
        <v>64</v>
      </c>
    </row>
    <row r="21" spans="1:15" x14ac:dyDescent="0.4">
      <c r="A21" t="s">
        <v>16</v>
      </c>
      <c r="B21" t="s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4">
      <c r="A22" t="s">
        <v>16</v>
      </c>
      <c r="B22" t="s">
        <v>132</v>
      </c>
      <c r="C22">
        <v>0</v>
      </c>
      <c r="D22">
        <v>0</v>
      </c>
      <c r="E22">
        <v>0</v>
      </c>
      <c r="F22">
        <v>0</v>
      </c>
      <c r="G22">
        <v>135.88999999999999</v>
      </c>
      <c r="H22">
        <v>400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535.89</v>
      </c>
    </row>
    <row r="23" spans="1:15" x14ac:dyDescent="0.4">
      <c r="A23" t="s">
        <v>16</v>
      </c>
      <c r="B23" t="s">
        <v>133</v>
      </c>
      <c r="C23">
        <v>0</v>
      </c>
      <c r="D23">
        <v>0</v>
      </c>
      <c r="E23">
        <v>28.7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28.7</v>
      </c>
    </row>
    <row r="24" spans="1:15" x14ac:dyDescent="0.4">
      <c r="A24" t="s">
        <v>16</v>
      </c>
      <c r="B24" t="s">
        <v>134</v>
      </c>
      <c r="C24">
        <v>105</v>
      </c>
      <c r="D24">
        <v>210</v>
      </c>
      <c r="E24">
        <v>105</v>
      </c>
      <c r="F24">
        <v>141.16999999999999</v>
      </c>
      <c r="G24">
        <v>210</v>
      </c>
      <c r="H24">
        <v>148.16999999999999</v>
      </c>
      <c r="I24">
        <v>210</v>
      </c>
      <c r="J24">
        <v>175</v>
      </c>
      <c r="K24">
        <v>140</v>
      </c>
      <c r="L24">
        <v>175</v>
      </c>
      <c r="M24">
        <v>175</v>
      </c>
      <c r="N24">
        <v>175</v>
      </c>
      <c r="O24">
        <v>1969.34</v>
      </c>
    </row>
    <row r="25" spans="1:15" x14ac:dyDescent="0.4">
      <c r="A25" t="s">
        <v>16</v>
      </c>
      <c r="B25" t="s">
        <v>135</v>
      </c>
      <c r="C25">
        <v>180</v>
      </c>
      <c r="D25">
        <v>180</v>
      </c>
      <c r="E25">
        <v>135</v>
      </c>
      <c r="F25">
        <v>190</v>
      </c>
      <c r="G25">
        <v>145.19999999999999</v>
      </c>
      <c r="H25">
        <v>120</v>
      </c>
      <c r="I25">
        <v>120</v>
      </c>
      <c r="J25">
        <v>120</v>
      </c>
      <c r="K25">
        <v>145</v>
      </c>
      <c r="L25">
        <v>160</v>
      </c>
      <c r="M25">
        <v>160</v>
      </c>
      <c r="N25">
        <v>185</v>
      </c>
      <c r="O25">
        <v>1840.2</v>
      </c>
    </row>
    <row r="26" spans="1:15" x14ac:dyDescent="0.4">
      <c r="A26" t="s">
        <v>16</v>
      </c>
      <c r="B26" t="s">
        <v>136</v>
      </c>
      <c r="C26">
        <v>0</v>
      </c>
      <c r="D26">
        <v>4500</v>
      </c>
      <c r="E26">
        <v>3499</v>
      </c>
      <c r="F26">
        <v>350</v>
      </c>
      <c r="G26">
        <v>0</v>
      </c>
      <c r="H26">
        <v>0</v>
      </c>
      <c r="I26">
        <v>0</v>
      </c>
      <c r="J26">
        <v>2440</v>
      </c>
      <c r="K26">
        <v>0</v>
      </c>
      <c r="L26">
        <v>0</v>
      </c>
      <c r="M26">
        <v>404.5</v>
      </c>
      <c r="N26">
        <v>718.22</v>
      </c>
      <c r="O26">
        <v>11911.72</v>
      </c>
    </row>
    <row r="27" spans="1:15" x14ac:dyDescent="0.4">
      <c r="A27" t="s">
        <v>16</v>
      </c>
      <c r="B27" t="s">
        <v>137</v>
      </c>
      <c r="C27">
        <v>582</v>
      </c>
      <c r="D27">
        <v>339.07</v>
      </c>
      <c r="E27">
        <v>64.77</v>
      </c>
      <c r="F27">
        <v>949.5</v>
      </c>
      <c r="G27">
        <v>410</v>
      </c>
      <c r="H27">
        <v>1474</v>
      </c>
      <c r="I27">
        <v>969</v>
      </c>
      <c r="J27">
        <v>1003.8</v>
      </c>
      <c r="K27">
        <v>863.5</v>
      </c>
      <c r="L27">
        <v>1166.4000000000001</v>
      </c>
      <c r="M27">
        <v>104.9</v>
      </c>
      <c r="N27">
        <v>629.5</v>
      </c>
      <c r="O27">
        <v>8556.44</v>
      </c>
    </row>
    <row r="28" spans="1:15" x14ac:dyDescent="0.4">
      <c r="A28" t="s">
        <v>16</v>
      </c>
      <c r="B28" t="s">
        <v>138</v>
      </c>
      <c r="C28">
        <v>50</v>
      </c>
      <c r="D28">
        <v>0</v>
      </c>
      <c r="E28">
        <v>7</v>
      </c>
      <c r="F28">
        <v>93</v>
      </c>
      <c r="G28">
        <v>0</v>
      </c>
      <c r="H28">
        <v>0</v>
      </c>
      <c r="I28">
        <v>100</v>
      </c>
      <c r="J28">
        <v>200</v>
      </c>
      <c r="K28">
        <v>150</v>
      </c>
      <c r="L28">
        <v>50</v>
      </c>
      <c r="M28">
        <v>50</v>
      </c>
      <c r="N28">
        <v>0</v>
      </c>
      <c r="O28">
        <v>700</v>
      </c>
    </row>
    <row r="29" spans="1:15" x14ac:dyDescent="0.4">
      <c r="A29" t="s">
        <v>16</v>
      </c>
      <c r="B29" t="s">
        <v>139</v>
      </c>
      <c r="C29">
        <v>400</v>
      </c>
      <c r="D29">
        <v>390</v>
      </c>
      <c r="E29">
        <v>149</v>
      </c>
      <c r="F29">
        <v>1347</v>
      </c>
      <c r="G29">
        <v>660</v>
      </c>
      <c r="H29">
        <v>0</v>
      </c>
      <c r="I29">
        <v>75</v>
      </c>
      <c r="J29">
        <v>0</v>
      </c>
      <c r="K29">
        <v>0</v>
      </c>
      <c r="L29">
        <v>225</v>
      </c>
      <c r="M29">
        <v>375</v>
      </c>
      <c r="N29">
        <v>100</v>
      </c>
      <c r="O29">
        <v>3721</v>
      </c>
    </row>
    <row r="30" spans="1:15" x14ac:dyDescent="0.4">
      <c r="A30" t="s">
        <v>16</v>
      </c>
      <c r="B30" t="s">
        <v>140</v>
      </c>
      <c r="C30">
        <v>376.07</v>
      </c>
      <c r="D30">
        <v>480</v>
      </c>
      <c r="E30">
        <v>318.23</v>
      </c>
      <c r="F30">
        <v>952.5</v>
      </c>
      <c r="G30">
        <v>1135.2</v>
      </c>
      <c r="H30">
        <v>1813.87</v>
      </c>
      <c r="I30">
        <v>1627.41</v>
      </c>
      <c r="J30">
        <v>1850.61</v>
      </c>
      <c r="K30">
        <v>1627.42</v>
      </c>
      <c r="L30">
        <v>1600.97</v>
      </c>
      <c r="M30">
        <v>1633.17</v>
      </c>
      <c r="N30">
        <v>1786.45</v>
      </c>
      <c r="O30">
        <v>15201.9</v>
      </c>
    </row>
    <row r="31" spans="1:15" x14ac:dyDescent="0.4">
      <c r="A31" t="s">
        <v>16</v>
      </c>
      <c r="B31" t="s">
        <v>141</v>
      </c>
      <c r="C31">
        <v>420</v>
      </c>
      <c r="D31">
        <v>0</v>
      </c>
      <c r="E31">
        <v>149</v>
      </c>
      <c r="F31">
        <v>637</v>
      </c>
      <c r="G31">
        <v>400</v>
      </c>
      <c r="H31">
        <v>0</v>
      </c>
      <c r="I31">
        <v>0</v>
      </c>
      <c r="J31">
        <v>110</v>
      </c>
      <c r="K31">
        <v>10</v>
      </c>
      <c r="L31">
        <v>110</v>
      </c>
      <c r="M31">
        <v>300</v>
      </c>
      <c r="N31">
        <v>-95</v>
      </c>
      <c r="O31">
        <v>2041</v>
      </c>
    </row>
    <row r="32" spans="1:15" x14ac:dyDescent="0.4">
      <c r="A32" t="s">
        <v>16</v>
      </c>
      <c r="B32" t="s">
        <v>144</v>
      </c>
      <c r="C32">
        <v>44.84</v>
      </c>
      <c r="D32">
        <v>125.97</v>
      </c>
      <c r="E32">
        <v>251.61</v>
      </c>
      <c r="F32">
        <v>619.77</v>
      </c>
      <c r="G32">
        <v>834.89</v>
      </c>
      <c r="H32">
        <v>1166.5</v>
      </c>
      <c r="I32">
        <v>1060.48</v>
      </c>
      <c r="J32">
        <v>0</v>
      </c>
      <c r="K32">
        <v>0</v>
      </c>
      <c r="L32">
        <v>0</v>
      </c>
      <c r="M32">
        <v>0</v>
      </c>
      <c r="N32">
        <v>0</v>
      </c>
      <c r="O32">
        <v>4104.0600000000004</v>
      </c>
    </row>
    <row r="33" spans="1:15" x14ac:dyDescent="0.4">
      <c r="A33" t="s">
        <v>16</v>
      </c>
      <c r="B33" t="s">
        <v>145</v>
      </c>
      <c r="C33">
        <v>239.16</v>
      </c>
      <c r="D33">
        <v>250.48</v>
      </c>
      <c r="E33">
        <v>209.7</v>
      </c>
      <c r="F33">
        <v>309.66000000000003</v>
      </c>
      <c r="G33">
        <v>319.24</v>
      </c>
      <c r="H33">
        <v>372.43</v>
      </c>
      <c r="I33">
        <v>367.1</v>
      </c>
      <c r="J33">
        <v>365.97</v>
      </c>
      <c r="K33">
        <v>371.45</v>
      </c>
      <c r="L33">
        <v>355.16</v>
      </c>
      <c r="M33">
        <v>350.16</v>
      </c>
      <c r="N33">
        <v>346.94</v>
      </c>
      <c r="O33">
        <v>3857.45</v>
      </c>
    </row>
    <row r="34" spans="1:15" x14ac:dyDescent="0.4">
      <c r="A34" t="s">
        <v>16</v>
      </c>
      <c r="B34" t="s">
        <v>146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6275.86</v>
      </c>
      <c r="K34">
        <v>7844.76</v>
      </c>
      <c r="L34">
        <v>6589.54</v>
      </c>
      <c r="M34">
        <v>6528.33</v>
      </c>
      <c r="N34">
        <v>6449.35</v>
      </c>
      <c r="O34">
        <v>33687.839999999997</v>
      </c>
    </row>
    <row r="35" spans="1:15" x14ac:dyDescent="0.4">
      <c r="A35" t="s">
        <v>16</v>
      </c>
      <c r="B35" t="s">
        <v>147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1530.79</v>
      </c>
      <c r="K35">
        <v>0</v>
      </c>
      <c r="L35">
        <v>1041.25</v>
      </c>
      <c r="M35">
        <v>0</v>
      </c>
      <c r="N35">
        <v>69.67</v>
      </c>
      <c r="O35">
        <v>2641.71</v>
      </c>
    </row>
    <row r="36" spans="1:15" x14ac:dyDescent="0.4">
      <c r="A36" t="s">
        <v>16</v>
      </c>
      <c r="B36" t="s">
        <v>203</v>
      </c>
      <c r="C36">
        <v>695</v>
      </c>
      <c r="D36">
        <v>730</v>
      </c>
      <c r="E36">
        <v>626.96</v>
      </c>
      <c r="F36">
        <v>1074.6099999999999</v>
      </c>
      <c r="G36">
        <v>1002.9</v>
      </c>
      <c r="H36">
        <v>1128.3399999999999</v>
      </c>
      <c r="I36">
        <v>1080</v>
      </c>
      <c r="J36">
        <v>1050</v>
      </c>
      <c r="K36">
        <v>1085</v>
      </c>
      <c r="L36">
        <v>1040</v>
      </c>
      <c r="M36">
        <v>1035.68</v>
      </c>
      <c r="N36">
        <v>1015</v>
      </c>
      <c r="O36">
        <v>11563.49</v>
      </c>
    </row>
    <row r="37" spans="1:15" x14ac:dyDescent="0.4">
      <c r="A37" t="s">
        <v>18</v>
      </c>
      <c r="B37" t="s">
        <v>99</v>
      </c>
      <c r="C37">
        <v>74884.47</v>
      </c>
      <c r="D37">
        <v>70655.25</v>
      </c>
      <c r="E37">
        <v>60080.61</v>
      </c>
      <c r="F37">
        <v>85315.94</v>
      </c>
      <c r="G37">
        <v>92114.84</v>
      </c>
      <c r="H37">
        <v>102675.02</v>
      </c>
      <c r="I37">
        <v>101054.77</v>
      </c>
      <c r="J37">
        <v>106890.72</v>
      </c>
      <c r="K37">
        <v>104771.09</v>
      </c>
      <c r="L37">
        <v>103805.77</v>
      </c>
      <c r="M37">
        <v>103488.1</v>
      </c>
      <c r="N37">
        <v>102709.24</v>
      </c>
      <c r="O37">
        <v>1108445.82</v>
      </c>
    </row>
    <row r="38" spans="1:15" x14ac:dyDescent="0.4">
      <c r="A38" t="s">
        <v>64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64</v>
      </c>
      <c r="O38" t="s">
        <v>64</v>
      </c>
    </row>
    <row r="39" spans="1:15" x14ac:dyDescent="0.4">
      <c r="B39" t="s">
        <v>20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  <c r="O39" t="s">
        <v>64</v>
      </c>
    </row>
    <row r="40" spans="1:15" x14ac:dyDescent="0.4">
      <c r="A40" t="s">
        <v>21</v>
      </c>
      <c r="B40" t="s">
        <v>22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64</v>
      </c>
      <c r="O40" t="s">
        <v>64</v>
      </c>
    </row>
    <row r="41" spans="1:15" x14ac:dyDescent="0.4">
      <c r="A41" t="s">
        <v>21</v>
      </c>
      <c r="B41" t="s">
        <v>170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1604.27</v>
      </c>
      <c r="J41">
        <v>0</v>
      </c>
      <c r="K41">
        <v>0</v>
      </c>
      <c r="L41">
        <v>0</v>
      </c>
      <c r="M41">
        <v>0</v>
      </c>
      <c r="N41">
        <v>392</v>
      </c>
      <c r="O41">
        <v>1996.27</v>
      </c>
    </row>
    <row r="42" spans="1:15" x14ac:dyDescent="0.4">
      <c r="A42" t="s">
        <v>21</v>
      </c>
      <c r="B42" t="s">
        <v>171</v>
      </c>
      <c r="C42">
        <v>811.88</v>
      </c>
      <c r="D42">
        <v>811.88</v>
      </c>
      <c r="E42">
        <v>811.88</v>
      </c>
      <c r="F42">
        <v>811.88</v>
      </c>
      <c r="G42">
        <v>811.88</v>
      </c>
      <c r="H42">
        <v>811.88</v>
      </c>
      <c r="I42">
        <v>811.88</v>
      </c>
      <c r="J42">
        <v>811.88</v>
      </c>
      <c r="K42">
        <v>811.88</v>
      </c>
      <c r="L42">
        <v>811.88</v>
      </c>
      <c r="M42">
        <v>811.88</v>
      </c>
      <c r="N42">
        <v>811.88</v>
      </c>
      <c r="O42">
        <v>9742.56</v>
      </c>
    </row>
    <row r="43" spans="1:15" x14ac:dyDescent="0.4">
      <c r="A43" t="s">
        <v>21</v>
      </c>
      <c r="B43" t="s">
        <v>172</v>
      </c>
      <c r="C43">
        <v>0</v>
      </c>
      <c r="D43">
        <v>0</v>
      </c>
      <c r="E43">
        <v>447.55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447.55</v>
      </c>
    </row>
    <row r="44" spans="1:15" x14ac:dyDescent="0.4">
      <c r="A44" t="s">
        <v>21</v>
      </c>
      <c r="B44" t="s">
        <v>173</v>
      </c>
      <c r="C44">
        <v>0</v>
      </c>
      <c r="D44">
        <v>0</v>
      </c>
      <c r="E44">
        <v>107.98</v>
      </c>
      <c r="F44">
        <v>0</v>
      </c>
      <c r="G44">
        <v>363.97</v>
      </c>
      <c r="H44">
        <v>107.98</v>
      </c>
      <c r="I44">
        <v>107.98</v>
      </c>
      <c r="J44">
        <v>118.78</v>
      </c>
      <c r="K44">
        <v>0</v>
      </c>
      <c r="L44">
        <v>237.56</v>
      </c>
      <c r="M44">
        <v>0</v>
      </c>
      <c r="N44">
        <v>237.56</v>
      </c>
      <c r="O44">
        <v>1281.81</v>
      </c>
    </row>
    <row r="45" spans="1:15" x14ac:dyDescent="0.4">
      <c r="A45" t="s">
        <v>21</v>
      </c>
      <c r="B45" t="s">
        <v>174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584.55999999999995</v>
      </c>
      <c r="J45">
        <v>0</v>
      </c>
      <c r="K45">
        <v>681.99</v>
      </c>
      <c r="L45">
        <v>2432.06</v>
      </c>
      <c r="M45">
        <v>0</v>
      </c>
      <c r="N45">
        <v>1694.8</v>
      </c>
      <c r="O45">
        <v>5393.41</v>
      </c>
    </row>
    <row r="46" spans="1:15" x14ac:dyDescent="0.4">
      <c r="A46" t="s">
        <v>21</v>
      </c>
      <c r="B46" t="s">
        <v>175</v>
      </c>
      <c r="C46">
        <v>1203.2</v>
      </c>
      <c r="D46">
        <v>1203.2</v>
      </c>
      <c r="E46">
        <v>1203.21</v>
      </c>
      <c r="F46">
        <v>4690.54</v>
      </c>
      <c r="G46">
        <v>0</v>
      </c>
      <c r="H46">
        <v>2063.27</v>
      </c>
      <c r="I46">
        <v>0</v>
      </c>
      <c r="J46">
        <v>1806.42</v>
      </c>
      <c r="K46">
        <v>0</v>
      </c>
      <c r="L46">
        <v>1815.35</v>
      </c>
      <c r="M46">
        <v>3761.86</v>
      </c>
      <c r="N46">
        <v>0</v>
      </c>
      <c r="O46">
        <v>17747.05</v>
      </c>
    </row>
    <row r="47" spans="1:15" x14ac:dyDescent="0.4">
      <c r="A47" t="s">
        <v>23</v>
      </c>
      <c r="B47" t="s">
        <v>24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64</v>
      </c>
      <c r="O47" t="s">
        <v>64</v>
      </c>
    </row>
    <row r="48" spans="1:15" x14ac:dyDescent="0.4">
      <c r="A48" t="s">
        <v>23</v>
      </c>
      <c r="B48" t="s">
        <v>184</v>
      </c>
      <c r="C48">
        <v>0</v>
      </c>
      <c r="D48">
        <v>21.62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-32.119999999999997</v>
      </c>
      <c r="O48">
        <v>-10.5</v>
      </c>
    </row>
    <row r="49" spans="1:15" x14ac:dyDescent="0.4">
      <c r="A49" t="s">
        <v>23</v>
      </c>
      <c r="B49" t="s">
        <v>185</v>
      </c>
      <c r="C49">
        <v>1828.3</v>
      </c>
      <c r="D49">
        <v>5574.56</v>
      </c>
      <c r="E49">
        <v>1910</v>
      </c>
      <c r="F49">
        <v>3200.6</v>
      </c>
      <c r="G49">
        <v>9664.6200000000008</v>
      </c>
      <c r="H49">
        <v>2274.8000000000002</v>
      </c>
      <c r="I49">
        <v>0</v>
      </c>
      <c r="J49">
        <v>443.83</v>
      </c>
      <c r="K49">
        <v>33.53</v>
      </c>
      <c r="L49">
        <v>1010.8</v>
      </c>
      <c r="M49">
        <v>2716</v>
      </c>
      <c r="N49">
        <v>1377.4</v>
      </c>
      <c r="O49">
        <v>30034.44</v>
      </c>
    </row>
    <row r="50" spans="1:15" x14ac:dyDescent="0.4">
      <c r="A50" t="s">
        <v>23</v>
      </c>
      <c r="B50" t="s">
        <v>186</v>
      </c>
      <c r="C50">
        <v>0</v>
      </c>
      <c r="D50">
        <v>260.68</v>
      </c>
      <c r="E50">
        <v>0</v>
      </c>
      <c r="F50">
        <v>359.23</v>
      </c>
      <c r="G50">
        <v>23.71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643.62</v>
      </c>
    </row>
    <row r="51" spans="1:15" x14ac:dyDescent="0.4">
      <c r="A51" t="s">
        <v>23</v>
      </c>
      <c r="B51" t="s">
        <v>187</v>
      </c>
      <c r="C51">
        <v>63.36</v>
      </c>
      <c r="D51">
        <v>92.88</v>
      </c>
      <c r="E51">
        <v>0</v>
      </c>
      <c r="F51">
        <v>25.94</v>
      </c>
      <c r="G51">
        <v>154.66</v>
      </c>
      <c r="H51">
        <v>103.4</v>
      </c>
      <c r="I51">
        <v>0</v>
      </c>
      <c r="J51">
        <v>0</v>
      </c>
      <c r="K51">
        <v>94.77</v>
      </c>
      <c r="L51">
        <v>12.59</v>
      </c>
      <c r="M51">
        <v>0</v>
      </c>
      <c r="N51">
        <v>0</v>
      </c>
      <c r="O51">
        <v>547.6</v>
      </c>
    </row>
    <row r="52" spans="1:15" x14ac:dyDescent="0.4">
      <c r="A52" t="s">
        <v>23</v>
      </c>
      <c r="B52" t="s">
        <v>188</v>
      </c>
      <c r="C52">
        <v>0</v>
      </c>
      <c r="D52">
        <v>350.02</v>
      </c>
      <c r="E52">
        <v>0</v>
      </c>
      <c r="F52">
        <v>165.75</v>
      </c>
      <c r="G52">
        <v>1213.2</v>
      </c>
      <c r="H52">
        <v>283.89999999999998</v>
      </c>
      <c r="I52">
        <v>496.71</v>
      </c>
      <c r="J52">
        <v>583.30999999999995</v>
      </c>
      <c r="K52">
        <v>158.22999999999999</v>
      </c>
      <c r="L52">
        <v>1544.37</v>
      </c>
      <c r="M52">
        <v>51.96</v>
      </c>
      <c r="N52">
        <v>0</v>
      </c>
      <c r="O52">
        <v>4847.45</v>
      </c>
    </row>
    <row r="53" spans="1:15" x14ac:dyDescent="0.4">
      <c r="A53" t="s">
        <v>23</v>
      </c>
      <c r="B53" t="s">
        <v>189</v>
      </c>
      <c r="C53">
        <v>0</v>
      </c>
      <c r="D53">
        <v>180.03</v>
      </c>
      <c r="E53">
        <v>0</v>
      </c>
      <c r="F53">
        <v>558.27</v>
      </c>
      <c r="G53">
        <v>538.9</v>
      </c>
      <c r="H53">
        <v>270.62</v>
      </c>
      <c r="I53">
        <v>299.13</v>
      </c>
      <c r="J53">
        <v>0</v>
      </c>
      <c r="K53">
        <v>15.99</v>
      </c>
      <c r="L53">
        <v>249.23</v>
      </c>
      <c r="M53">
        <v>0</v>
      </c>
      <c r="N53">
        <v>968.99</v>
      </c>
      <c r="O53">
        <v>3081.16</v>
      </c>
    </row>
    <row r="54" spans="1:15" x14ac:dyDescent="0.4">
      <c r="A54" t="s">
        <v>23</v>
      </c>
      <c r="B54" t="s">
        <v>204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626.6</v>
      </c>
      <c r="L54">
        <v>0</v>
      </c>
      <c r="M54">
        <v>0</v>
      </c>
      <c r="N54">
        <v>0</v>
      </c>
      <c r="O54">
        <v>626.6</v>
      </c>
    </row>
    <row r="55" spans="1:15" x14ac:dyDescent="0.4">
      <c r="A55" t="s">
        <v>23</v>
      </c>
      <c r="B55" t="s">
        <v>190</v>
      </c>
      <c r="C55">
        <v>0</v>
      </c>
      <c r="D55">
        <v>0</v>
      </c>
      <c r="E55">
        <v>0</v>
      </c>
      <c r="F55">
        <v>351.38</v>
      </c>
      <c r="G55">
        <v>10.29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361.67</v>
      </c>
    </row>
    <row r="56" spans="1:15" x14ac:dyDescent="0.4">
      <c r="A56" t="s">
        <v>23</v>
      </c>
      <c r="B56" t="s">
        <v>191</v>
      </c>
      <c r="C56">
        <v>72.53</v>
      </c>
      <c r="D56">
        <v>767.46</v>
      </c>
      <c r="E56">
        <v>0</v>
      </c>
      <c r="F56">
        <v>638.51</v>
      </c>
      <c r="G56">
        <v>-57.85</v>
      </c>
      <c r="H56">
        <v>179.37</v>
      </c>
      <c r="I56">
        <v>0</v>
      </c>
      <c r="J56">
        <v>0</v>
      </c>
      <c r="K56">
        <v>240.17</v>
      </c>
      <c r="L56">
        <v>467.66</v>
      </c>
      <c r="M56">
        <v>45.45</v>
      </c>
      <c r="N56">
        <v>0</v>
      </c>
      <c r="O56">
        <v>2353.3000000000002</v>
      </c>
    </row>
    <row r="57" spans="1:15" x14ac:dyDescent="0.4">
      <c r="A57" t="s">
        <v>23</v>
      </c>
      <c r="B57" t="s">
        <v>205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708.36</v>
      </c>
      <c r="L57">
        <v>0</v>
      </c>
      <c r="M57">
        <v>0</v>
      </c>
      <c r="N57">
        <v>0</v>
      </c>
      <c r="O57">
        <v>708.36</v>
      </c>
    </row>
    <row r="58" spans="1:15" x14ac:dyDescent="0.4">
      <c r="A58" t="s">
        <v>23</v>
      </c>
      <c r="B58" t="s">
        <v>192</v>
      </c>
      <c r="C58">
        <v>0</v>
      </c>
      <c r="D58">
        <v>0</v>
      </c>
      <c r="E58">
        <v>0</v>
      </c>
      <c r="F58">
        <v>110.22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110.22</v>
      </c>
    </row>
    <row r="59" spans="1:15" x14ac:dyDescent="0.4">
      <c r="A59" t="s">
        <v>23</v>
      </c>
      <c r="B59" t="s">
        <v>193</v>
      </c>
      <c r="C59">
        <v>672.8</v>
      </c>
      <c r="D59">
        <v>483.61</v>
      </c>
      <c r="E59">
        <v>0</v>
      </c>
      <c r="F59">
        <v>402</v>
      </c>
      <c r="G59">
        <v>361.15</v>
      </c>
      <c r="H59">
        <v>78.180000000000007</v>
      </c>
      <c r="I59">
        <v>0</v>
      </c>
      <c r="J59">
        <v>0</v>
      </c>
      <c r="K59">
        <v>619.35</v>
      </c>
      <c r="L59">
        <v>416.09</v>
      </c>
      <c r="M59">
        <v>125.12</v>
      </c>
      <c r="N59">
        <v>419.02</v>
      </c>
      <c r="O59">
        <v>3577.32</v>
      </c>
    </row>
    <row r="60" spans="1:15" x14ac:dyDescent="0.4">
      <c r="A60" t="s">
        <v>23</v>
      </c>
      <c r="B60" t="s">
        <v>194</v>
      </c>
      <c r="C60">
        <v>8.51</v>
      </c>
      <c r="D60">
        <v>0</v>
      </c>
      <c r="E60">
        <v>680.42</v>
      </c>
      <c r="F60">
        <v>0</v>
      </c>
      <c r="G60">
        <v>0</v>
      </c>
      <c r="H60">
        <v>980.92</v>
      </c>
      <c r="I60">
        <v>0</v>
      </c>
      <c r="J60">
        <v>0</v>
      </c>
      <c r="K60">
        <v>280.35000000000002</v>
      </c>
      <c r="L60">
        <v>0</v>
      </c>
      <c r="M60">
        <v>0</v>
      </c>
      <c r="N60">
        <v>340.21</v>
      </c>
      <c r="O60">
        <v>2290.41</v>
      </c>
    </row>
    <row r="61" spans="1:15" x14ac:dyDescent="0.4">
      <c r="A61" t="s">
        <v>23</v>
      </c>
      <c r="B61" t="s">
        <v>195</v>
      </c>
      <c r="C61">
        <v>203.55</v>
      </c>
      <c r="D61">
        <v>0</v>
      </c>
      <c r="E61">
        <v>0</v>
      </c>
      <c r="F61">
        <v>0</v>
      </c>
      <c r="G61">
        <v>90.94</v>
      </c>
      <c r="H61">
        <v>0</v>
      </c>
      <c r="I61">
        <v>0</v>
      </c>
      <c r="J61">
        <v>0</v>
      </c>
      <c r="K61">
        <v>106.08</v>
      </c>
      <c r="L61">
        <v>0</v>
      </c>
      <c r="M61">
        <v>0</v>
      </c>
      <c r="N61">
        <v>51.92</v>
      </c>
      <c r="O61">
        <v>452.49</v>
      </c>
    </row>
    <row r="62" spans="1:15" x14ac:dyDescent="0.4">
      <c r="A62" t="s">
        <v>23</v>
      </c>
      <c r="B62" t="s">
        <v>196</v>
      </c>
      <c r="C62">
        <v>345.07</v>
      </c>
      <c r="D62">
        <v>101.71</v>
      </c>
      <c r="E62">
        <v>0</v>
      </c>
      <c r="F62">
        <v>194.84</v>
      </c>
      <c r="G62">
        <v>554.79</v>
      </c>
      <c r="H62">
        <v>61.05</v>
      </c>
      <c r="I62">
        <v>0</v>
      </c>
      <c r="J62">
        <v>0</v>
      </c>
      <c r="K62">
        <v>0</v>
      </c>
      <c r="L62">
        <v>0</v>
      </c>
      <c r="M62">
        <v>49.72</v>
      </c>
      <c r="N62">
        <v>-53.17</v>
      </c>
      <c r="O62">
        <v>1254.01</v>
      </c>
    </row>
    <row r="63" spans="1:15" x14ac:dyDescent="0.4">
      <c r="A63" t="s">
        <v>23</v>
      </c>
      <c r="B63" t="s">
        <v>197</v>
      </c>
      <c r="C63">
        <v>0</v>
      </c>
      <c r="D63">
        <v>0</v>
      </c>
      <c r="E63">
        <v>0</v>
      </c>
      <c r="F63">
        <v>423.63</v>
      </c>
      <c r="G63">
        <v>57.93</v>
      </c>
      <c r="H63">
        <v>330.04</v>
      </c>
      <c r="I63">
        <v>38.549999999999997</v>
      </c>
      <c r="J63">
        <v>0</v>
      </c>
      <c r="K63">
        <v>110.54</v>
      </c>
      <c r="L63">
        <v>77.12</v>
      </c>
      <c r="M63">
        <v>180.43</v>
      </c>
      <c r="N63">
        <v>29.42</v>
      </c>
      <c r="O63">
        <v>1247.6600000000001</v>
      </c>
    </row>
    <row r="64" spans="1:15" x14ac:dyDescent="0.4">
      <c r="A64" t="s">
        <v>23</v>
      </c>
      <c r="B64" t="s">
        <v>198</v>
      </c>
      <c r="C64">
        <v>238.26</v>
      </c>
      <c r="D64">
        <v>87.57</v>
      </c>
      <c r="E64">
        <v>0</v>
      </c>
      <c r="F64">
        <v>328.26</v>
      </c>
      <c r="G64">
        <v>234.19</v>
      </c>
      <c r="H64">
        <v>70.58</v>
      </c>
      <c r="I64">
        <v>0</v>
      </c>
      <c r="J64">
        <v>0</v>
      </c>
      <c r="K64">
        <v>0</v>
      </c>
      <c r="L64">
        <v>40.619999999999997</v>
      </c>
      <c r="M64">
        <v>69.709999999999994</v>
      </c>
      <c r="N64">
        <v>87.85</v>
      </c>
      <c r="O64">
        <v>1157.04</v>
      </c>
    </row>
    <row r="65" spans="1:15" x14ac:dyDescent="0.4">
      <c r="A65" t="s">
        <v>23</v>
      </c>
      <c r="B65" t="s">
        <v>199</v>
      </c>
      <c r="C65">
        <v>140</v>
      </c>
      <c r="D65">
        <v>1367.4</v>
      </c>
      <c r="E65">
        <v>1195</v>
      </c>
      <c r="F65">
        <v>1258.54</v>
      </c>
      <c r="G65">
        <v>94.9</v>
      </c>
      <c r="H65">
        <v>3722.05</v>
      </c>
      <c r="I65">
        <v>545</v>
      </c>
      <c r="J65">
        <v>0</v>
      </c>
      <c r="K65">
        <v>77.709999999999994</v>
      </c>
      <c r="L65">
        <v>0</v>
      </c>
      <c r="M65">
        <v>1210</v>
      </c>
      <c r="N65">
        <v>125</v>
      </c>
      <c r="O65">
        <v>9735.6</v>
      </c>
    </row>
    <row r="66" spans="1:15" x14ac:dyDescent="0.4">
      <c r="A66" t="s">
        <v>23</v>
      </c>
      <c r="B66" t="s">
        <v>200</v>
      </c>
      <c r="C66">
        <v>0</v>
      </c>
      <c r="D66">
        <v>48.44</v>
      </c>
      <c r="E66">
        <v>0</v>
      </c>
      <c r="F66">
        <v>116.77</v>
      </c>
      <c r="G66">
        <v>67.040000000000006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33.53</v>
      </c>
      <c r="O66">
        <v>265.77999999999997</v>
      </c>
    </row>
    <row r="67" spans="1:15" x14ac:dyDescent="0.4">
      <c r="A67" t="s">
        <v>23</v>
      </c>
      <c r="B67" t="s">
        <v>201</v>
      </c>
      <c r="C67">
        <v>0</v>
      </c>
      <c r="D67">
        <v>0</v>
      </c>
      <c r="E67">
        <v>0</v>
      </c>
      <c r="F67">
        <v>0</v>
      </c>
      <c r="G67">
        <v>0</v>
      </c>
      <c r="H67">
        <v>-88.57</v>
      </c>
      <c r="I67">
        <v>0</v>
      </c>
      <c r="J67">
        <v>0</v>
      </c>
      <c r="K67">
        <v>-830.06</v>
      </c>
      <c r="L67">
        <v>0</v>
      </c>
      <c r="M67">
        <v>0</v>
      </c>
      <c r="N67">
        <v>-95.17</v>
      </c>
      <c r="O67">
        <v>-1013.8</v>
      </c>
    </row>
    <row r="68" spans="1:15" x14ac:dyDescent="0.4">
      <c r="A68" t="s">
        <v>25</v>
      </c>
      <c r="B68" t="s">
        <v>26</v>
      </c>
      <c r="C68" t="s">
        <v>64</v>
      </c>
      <c r="D68" t="s">
        <v>64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64</v>
      </c>
      <c r="O68" t="s">
        <v>64</v>
      </c>
    </row>
    <row r="69" spans="1:15" x14ac:dyDescent="0.4">
      <c r="A69" t="s">
        <v>25</v>
      </c>
      <c r="B69" t="s">
        <v>159</v>
      </c>
      <c r="C69">
        <v>10.8</v>
      </c>
      <c r="D69">
        <v>55.04</v>
      </c>
      <c r="E69">
        <v>263.47000000000003</v>
      </c>
      <c r="F69">
        <v>14.6</v>
      </c>
      <c r="G69">
        <v>638.36</v>
      </c>
      <c r="H69">
        <v>34.770000000000003</v>
      </c>
      <c r="I69">
        <v>16.899999999999999</v>
      </c>
      <c r="J69">
        <v>217.3</v>
      </c>
      <c r="K69">
        <v>9.4600000000000009</v>
      </c>
      <c r="L69">
        <v>9.6</v>
      </c>
      <c r="M69">
        <v>315.18</v>
      </c>
      <c r="N69">
        <v>10</v>
      </c>
      <c r="O69">
        <v>1595.48</v>
      </c>
    </row>
    <row r="70" spans="1:15" x14ac:dyDescent="0.4">
      <c r="A70" t="s">
        <v>25</v>
      </c>
      <c r="B70" t="s">
        <v>160</v>
      </c>
      <c r="C70">
        <v>0</v>
      </c>
      <c r="D70">
        <v>34.119999999999997</v>
      </c>
      <c r="E70">
        <v>90.12</v>
      </c>
      <c r="F70">
        <v>8.76</v>
      </c>
      <c r="G70">
        <v>23.68</v>
      </c>
      <c r="H70">
        <v>56.94</v>
      </c>
      <c r="I70">
        <v>28.57</v>
      </c>
      <c r="J70">
        <v>21.5</v>
      </c>
      <c r="K70">
        <v>42.99</v>
      </c>
      <c r="L70">
        <v>25.07</v>
      </c>
      <c r="M70">
        <v>64.13</v>
      </c>
      <c r="N70">
        <v>60.83</v>
      </c>
      <c r="O70">
        <v>456.71</v>
      </c>
    </row>
    <row r="71" spans="1:15" x14ac:dyDescent="0.4">
      <c r="A71" t="s">
        <v>25</v>
      </c>
      <c r="B71" t="s">
        <v>161</v>
      </c>
      <c r="C71">
        <v>148.74</v>
      </c>
      <c r="D71">
        <v>0</v>
      </c>
      <c r="E71">
        <v>200</v>
      </c>
      <c r="F71">
        <v>385</v>
      </c>
      <c r="G71">
        <v>1027.5999999999999</v>
      </c>
      <c r="H71">
        <v>0</v>
      </c>
      <c r="I71">
        <v>0</v>
      </c>
      <c r="J71">
        <v>189</v>
      </c>
      <c r="K71">
        <v>0</v>
      </c>
      <c r="L71">
        <v>837.2</v>
      </c>
      <c r="M71">
        <v>249.98</v>
      </c>
      <c r="N71">
        <v>0</v>
      </c>
      <c r="O71">
        <v>3037.52</v>
      </c>
    </row>
    <row r="72" spans="1:15" x14ac:dyDescent="0.4">
      <c r="A72" t="s">
        <v>25</v>
      </c>
      <c r="B72" t="s">
        <v>162</v>
      </c>
      <c r="C72">
        <v>55.36</v>
      </c>
      <c r="D72">
        <v>0</v>
      </c>
      <c r="E72">
        <v>0</v>
      </c>
      <c r="F72">
        <v>134.56</v>
      </c>
      <c r="G72">
        <v>0</v>
      </c>
      <c r="H72">
        <v>0</v>
      </c>
      <c r="I72">
        <v>0</v>
      </c>
      <c r="J72">
        <v>0</v>
      </c>
      <c r="K72">
        <v>0</v>
      </c>
      <c r="L72">
        <v>796.31</v>
      </c>
      <c r="M72">
        <v>1592.6</v>
      </c>
      <c r="N72">
        <v>0</v>
      </c>
      <c r="O72">
        <v>2578.83</v>
      </c>
    </row>
    <row r="73" spans="1:15" x14ac:dyDescent="0.4">
      <c r="A73" t="s">
        <v>25</v>
      </c>
      <c r="B73" t="s">
        <v>163</v>
      </c>
      <c r="C73">
        <v>93.36</v>
      </c>
      <c r="D73">
        <v>93.36</v>
      </c>
      <c r="E73">
        <v>93.36</v>
      </c>
      <c r="F73">
        <v>93.36</v>
      </c>
      <c r="G73">
        <v>93.36</v>
      </c>
      <c r="H73">
        <v>93.36</v>
      </c>
      <c r="I73">
        <v>0</v>
      </c>
      <c r="J73">
        <v>6.81</v>
      </c>
      <c r="K73">
        <v>0</v>
      </c>
      <c r="L73">
        <v>3.2</v>
      </c>
      <c r="M73">
        <v>30.44</v>
      </c>
      <c r="N73">
        <v>30.44</v>
      </c>
      <c r="O73">
        <v>631.04999999999995</v>
      </c>
    </row>
    <row r="74" spans="1:15" x14ac:dyDescent="0.4">
      <c r="A74" t="s">
        <v>25</v>
      </c>
      <c r="B74" t="s">
        <v>164</v>
      </c>
      <c r="C74">
        <v>0</v>
      </c>
      <c r="D74">
        <v>2482.98</v>
      </c>
      <c r="E74">
        <v>0</v>
      </c>
      <c r="F74">
        <v>0</v>
      </c>
      <c r="G74">
        <v>0</v>
      </c>
      <c r="H74">
        <v>0</v>
      </c>
      <c r="I74">
        <v>1696.25</v>
      </c>
      <c r="J74">
        <v>0</v>
      </c>
      <c r="K74">
        <v>0</v>
      </c>
      <c r="L74">
        <v>0</v>
      </c>
      <c r="M74">
        <v>0</v>
      </c>
      <c r="N74">
        <v>0</v>
      </c>
      <c r="O74">
        <v>4179.2299999999996</v>
      </c>
    </row>
    <row r="75" spans="1:15" x14ac:dyDescent="0.4">
      <c r="A75" t="s">
        <v>25</v>
      </c>
      <c r="B75" t="s">
        <v>165</v>
      </c>
      <c r="C75">
        <v>200</v>
      </c>
      <c r="D75">
        <v>188.95</v>
      </c>
      <c r="E75">
        <v>0</v>
      </c>
      <c r="F75">
        <v>0</v>
      </c>
      <c r="G75">
        <v>0</v>
      </c>
      <c r="H75">
        <v>0</v>
      </c>
      <c r="I75">
        <v>154.22</v>
      </c>
      <c r="J75">
        <v>0</v>
      </c>
      <c r="K75">
        <v>0</v>
      </c>
      <c r="L75">
        <v>0</v>
      </c>
      <c r="M75">
        <v>0</v>
      </c>
      <c r="N75">
        <v>0</v>
      </c>
      <c r="O75">
        <v>543.16999999999996</v>
      </c>
    </row>
    <row r="76" spans="1:15" x14ac:dyDescent="0.4">
      <c r="A76" t="s">
        <v>25</v>
      </c>
      <c r="B76" t="s">
        <v>166</v>
      </c>
      <c r="C76">
        <v>728.9</v>
      </c>
      <c r="D76">
        <v>27.76</v>
      </c>
      <c r="E76">
        <v>904.74</v>
      </c>
      <c r="F76">
        <v>872.29</v>
      </c>
      <c r="G76">
        <v>223.25</v>
      </c>
      <c r="H76">
        <v>101.27</v>
      </c>
      <c r="I76">
        <v>218.67</v>
      </c>
      <c r="J76">
        <v>2043.21</v>
      </c>
      <c r="K76">
        <v>190.01</v>
      </c>
      <c r="L76">
        <v>128.94999999999999</v>
      </c>
      <c r="M76">
        <v>721.66</v>
      </c>
      <c r="N76">
        <v>755.99</v>
      </c>
      <c r="O76">
        <v>6916.7</v>
      </c>
    </row>
    <row r="77" spans="1:15" x14ac:dyDescent="0.4">
      <c r="A77" t="s">
        <v>25</v>
      </c>
      <c r="B77" t="s">
        <v>167</v>
      </c>
      <c r="C77">
        <v>164.7</v>
      </c>
      <c r="D77">
        <v>195.23</v>
      </c>
      <c r="E77">
        <v>184.09</v>
      </c>
      <c r="F77">
        <v>164.41</v>
      </c>
      <c r="G77">
        <v>234.88</v>
      </c>
      <c r="H77">
        <v>158.19999999999999</v>
      </c>
      <c r="I77">
        <v>130.54</v>
      </c>
      <c r="J77">
        <v>137.27000000000001</v>
      </c>
      <c r="K77">
        <v>186.47</v>
      </c>
      <c r="L77">
        <v>188.54</v>
      </c>
      <c r="M77">
        <v>142.34</v>
      </c>
      <c r="N77">
        <v>106.75</v>
      </c>
      <c r="O77">
        <v>1993.42</v>
      </c>
    </row>
    <row r="78" spans="1:15" x14ac:dyDescent="0.4">
      <c r="A78" t="s">
        <v>25</v>
      </c>
      <c r="B78" t="s">
        <v>168</v>
      </c>
      <c r="C78">
        <v>26.52</v>
      </c>
      <c r="D78">
        <v>0</v>
      </c>
      <c r="E78">
        <v>230.17</v>
      </c>
      <c r="F78">
        <v>226.67</v>
      </c>
      <c r="G78">
        <v>0</v>
      </c>
      <c r="H78">
        <v>0</v>
      </c>
      <c r="I78">
        <v>475</v>
      </c>
      <c r="J78">
        <v>0</v>
      </c>
      <c r="K78">
        <v>0</v>
      </c>
      <c r="L78">
        <v>0</v>
      </c>
      <c r="M78">
        <v>0</v>
      </c>
      <c r="N78">
        <v>0</v>
      </c>
      <c r="O78">
        <v>958.36</v>
      </c>
    </row>
    <row r="79" spans="1:15" x14ac:dyDescent="0.4">
      <c r="A79" t="s">
        <v>27</v>
      </c>
      <c r="B79" t="s">
        <v>28</v>
      </c>
      <c r="C79" t="s">
        <v>64</v>
      </c>
      <c r="D79" t="s">
        <v>64</v>
      </c>
      <c r="E79" t="s">
        <v>64</v>
      </c>
      <c r="F79" t="s">
        <v>64</v>
      </c>
      <c r="G79" t="s">
        <v>64</v>
      </c>
      <c r="H79" t="s">
        <v>64</v>
      </c>
      <c r="I79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64</v>
      </c>
      <c r="O79" t="s">
        <v>64</v>
      </c>
    </row>
    <row r="80" spans="1:15" x14ac:dyDescent="0.4">
      <c r="A80" t="s">
        <v>27</v>
      </c>
      <c r="B80" t="s">
        <v>177</v>
      </c>
      <c r="C80">
        <v>0</v>
      </c>
      <c r="D80">
        <v>0</v>
      </c>
      <c r="E80">
        <v>0</v>
      </c>
      <c r="F80">
        <v>1377.78</v>
      </c>
      <c r="G80">
        <v>908</v>
      </c>
      <c r="H80">
        <v>0</v>
      </c>
      <c r="I80">
        <v>0</v>
      </c>
      <c r="J80">
        <v>0</v>
      </c>
      <c r="K80">
        <v>1816</v>
      </c>
      <c r="L80">
        <v>0</v>
      </c>
      <c r="M80">
        <v>908</v>
      </c>
      <c r="N80">
        <v>454</v>
      </c>
      <c r="O80">
        <v>5463.78</v>
      </c>
    </row>
    <row r="81" spans="1:15" x14ac:dyDescent="0.4">
      <c r="A81" t="s">
        <v>27</v>
      </c>
      <c r="B81" t="s">
        <v>178</v>
      </c>
      <c r="C81">
        <v>0</v>
      </c>
      <c r="D81">
        <v>0</v>
      </c>
      <c r="E81">
        <v>0</v>
      </c>
      <c r="F81">
        <v>141.25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141.25</v>
      </c>
    </row>
    <row r="82" spans="1:15" x14ac:dyDescent="0.4">
      <c r="A82" t="s">
        <v>27</v>
      </c>
      <c r="B82" t="s">
        <v>179</v>
      </c>
      <c r="C82">
        <v>0</v>
      </c>
      <c r="D82">
        <v>998.08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998.08</v>
      </c>
    </row>
    <row r="83" spans="1:15" x14ac:dyDescent="0.4">
      <c r="A83" t="s">
        <v>27</v>
      </c>
      <c r="B83" t="s">
        <v>180</v>
      </c>
      <c r="C83">
        <v>0</v>
      </c>
      <c r="D83">
        <v>0</v>
      </c>
      <c r="E83">
        <v>127.55</v>
      </c>
      <c r="F83">
        <v>0</v>
      </c>
      <c r="G83">
        <v>138.5</v>
      </c>
      <c r="H83">
        <v>0</v>
      </c>
      <c r="I83">
        <v>0</v>
      </c>
      <c r="J83">
        <v>0</v>
      </c>
      <c r="K83">
        <v>250</v>
      </c>
      <c r="L83">
        <v>0</v>
      </c>
      <c r="M83">
        <v>0</v>
      </c>
      <c r="N83">
        <v>0</v>
      </c>
      <c r="O83">
        <v>516.04999999999995</v>
      </c>
    </row>
    <row r="84" spans="1:15" x14ac:dyDescent="0.4">
      <c r="A84" t="s">
        <v>27</v>
      </c>
      <c r="B84" t="s">
        <v>181</v>
      </c>
      <c r="C84">
        <v>0</v>
      </c>
      <c r="D84">
        <v>473.05</v>
      </c>
      <c r="E84">
        <v>127.55</v>
      </c>
      <c r="F84">
        <v>0</v>
      </c>
      <c r="G84">
        <v>37.49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638.09</v>
      </c>
    </row>
    <row r="85" spans="1:15" x14ac:dyDescent="0.4">
      <c r="A85" t="s">
        <v>29</v>
      </c>
      <c r="B85" t="s">
        <v>30</v>
      </c>
      <c r="C85" t="s">
        <v>64</v>
      </c>
      <c r="D85" t="s">
        <v>64</v>
      </c>
      <c r="E85" t="s">
        <v>64</v>
      </c>
      <c r="F85" t="s">
        <v>64</v>
      </c>
      <c r="G85" t="s">
        <v>64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64</v>
      </c>
      <c r="O85" t="s">
        <v>64</v>
      </c>
    </row>
    <row r="86" spans="1:15" x14ac:dyDescent="0.4">
      <c r="A86" t="s">
        <v>29</v>
      </c>
      <c r="B86" t="s">
        <v>151</v>
      </c>
      <c r="C86">
        <v>1341.2</v>
      </c>
      <c r="D86">
        <v>1152.2</v>
      </c>
      <c r="E86">
        <v>4463.55</v>
      </c>
      <c r="F86">
        <v>3231.2</v>
      </c>
      <c r="G86">
        <v>3735.21</v>
      </c>
      <c r="H86">
        <v>3939.96</v>
      </c>
      <c r="I86">
        <v>3627.58</v>
      </c>
      <c r="J86">
        <v>5111.93</v>
      </c>
      <c r="K86">
        <v>3638.08</v>
      </c>
      <c r="L86">
        <v>4464.96</v>
      </c>
      <c r="M86">
        <v>3900.58</v>
      </c>
      <c r="N86">
        <v>2535.58</v>
      </c>
      <c r="O86">
        <v>41142.03</v>
      </c>
    </row>
    <row r="87" spans="1:15" x14ac:dyDescent="0.4">
      <c r="A87" t="s">
        <v>29</v>
      </c>
      <c r="B87" t="s">
        <v>152</v>
      </c>
      <c r="C87">
        <v>0</v>
      </c>
      <c r="D87">
        <v>0</v>
      </c>
      <c r="E87">
        <v>0</v>
      </c>
      <c r="F87">
        <v>0</v>
      </c>
      <c r="G87">
        <v>0</v>
      </c>
      <c r="H87">
        <v>1277.72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1277.72</v>
      </c>
    </row>
    <row r="88" spans="1:15" x14ac:dyDescent="0.4">
      <c r="A88" t="s">
        <v>29</v>
      </c>
      <c r="B88" t="s">
        <v>153</v>
      </c>
      <c r="C88">
        <v>0</v>
      </c>
      <c r="D88">
        <v>769.45</v>
      </c>
      <c r="E88">
        <v>454.35</v>
      </c>
      <c r="F88">
        <v>1214.27</v>
      </c>
      <c r="G88">
        <v>214.5</v>
      </c>
      <c r="H88">
        <v>3322.8</v>
      </c>
      <c r="I88">
        <v>1238.45</v>
      </c>
      <c r="J88">
        <v>0</v>
      </c>
      <c r="K88">
        <v>390</v>
      </c>
      <c r="L88">
        <v>2930.13</v>
      </c>
      <c r="M88">
        <v>0</v>
      </c>
      <c r="N88">
        <v>1733.56</v>
      </c>
      <c r="O88">
        <v>12267.51</v>
      </c>
    </row>
    <row r="89" spans="1:15" x14ac:dyDescent="0.4">
      <c r="A89" t="s">
        <v>29</v>
      </c>
      <c r="B89" t="s">
        <v>154</v>
      </c>
      <c r="C89">
        <v>0</v>
      </c>
      <c r="D89">
        <v>400</v>
      </c>
      <c r="E89">
        <v>0</v>
      </c>
      <c r="F89">
        <v>1800</v>
      </c>
      <c r="G89">
        <v>1100</v>
      </c>
      <c r="H89">
        <v>600</v>
      </c>
      <c r="I89">
        <v>300</v>
      </c>
      <c r="J89">
        <v>0</v>
      </c>
      <c r="K89">
        <v>480</v>
      </c>
      <c r="L89">
        <v>1080</v>
      </c>
      <c r="M89">
        <v>120</v>
      </c>
      <c r="N89">
        <v>135</v>
      </c>
      <c r="O89">
        <v>6015</v>
      </c>
    </row>
    <row r="90" spans="1:15" x14ac:dyDescent="0.4">
      <c r="A90" t="s">
        <v>29</v>
      </c>
      <c r="B90" t="s">
        <v>155</v>
      </c>
      <c r="C90">
        <v>153.51</v>
      </c>
      <c r="D90">
        <v>178.7</v>
      </c>
      <c r="E90">
        <v>350.5</v>
      </c>
      <c r="F90">
        <v>423.56</v>
      </c>
      <c r="G90">
        <v>380.46</v>
      </c>
      <c r="H90">
        <v>341.75</v>
      </c>
      <c r="I90">
        <v>271.95</v>
      </c>
      <c r="J90">
        <v>666.79</v>
      </c>
      <c r="K90">
        <v>520.01</v>
      </c>
      <c r="L90">
        <v>435.68</v>
      </c>
      <c r="M90">
        <v>300.16000000000003</v>
      </c>
      <c r="N90">
        <v>200.95</v>
      </c>
      <c r="O90">
        <v>4224.0200000000004</v>
      </c>
    </row>
    <row r="91" spans="1:15" x14ac:dyDescent="0.4">
      <c r="A91" t="s">
        <v>29</v>
      </c>
      <c r="B91" t="s">
        <v>156</v>
      </c>
      <c r="C91">
        <v>23.36</v>
      </c>
      <c r="D91">
        <v>2.14</v>
      </c>
      <c r="E91">
        <v>2.48</v>
      </c>
      <c r="F91">
        <v>7.11</v>
      </c>
      <c r="G91">
        <v>27.14</v>
      </c>
      <c r="H91">
        <v>14.83</v>
      </c>
      <c r="I91">
        <v>7.24</v>
      </c>
      <c r="J91">
        <v>5.79</v>
      </c>
      <c r="K91">
        <v>4.76</v>
      </c>
      <c r="L91">
        <v>19.420000000000002</v>
      </c>
      <c r="M91">
        <v>18.13</v>
      </c>
      <c r="N91">
        <v>9.49</v>
      </c>
      <c r="O91">
        <v>141.88999999999999</v>
      </c>
    </row>
    <row r="92" spans="1:15" x14ac:dyDescent="0.4">
      <c r="A92" t="s">
        <v>31</v>
      </c>
      <c r="B92" t="s">
        <v>32</v>
      </c>
      <c r="C92" t="s">
        <v>64</v>
      </c>
      <c r="D92" t="s">
        <v>64</v>
      </c>
      <c r="E92" t="s">
        <v>64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64</v>
      </c>
      <c r="O92" t="s">
        <v>64</v>
      </c>
    </row>
    <row r="93" spans="1:15" x14ac:dyDescent="0.4">
      <c r="A93" t="s">
        <v>31</v>
      </c>
      <c r="B93" t="s">
        <v>104</v>
      </c>
      <c r="C93">
        <v>6843.75</v>
      </c>
      <c r="D93">
        <v>5492.7</v>
      </c>
      <c r="E93">
        <v>5674.43</v>
      </c>
      <c r="F93">
        <v>5635.35</v>
      </c>
      <c r="G93">
        <v>6209.14</v>
      </c>
      <c r="H93">
        <v>5149.47</v>
      </c>
      <c r="I93">
        <v>5405.45</v>
      </c>
      <c r="J93">
        <v>5337.29</v>
      </c>
      <c r="K93">
        <v>5551.64</v>
      </c>
      <c r="L93">
        <v>5448.33</v>
      </c>
      <c r="M93">
        <v>5432.76</v>
      </c>
      <c r="N93">
        <v>5831.32</v>
      </c>
      <c r="O93">
        <v>68011.63</v>
      </c>
    </row>
    <row r="94" spans="1:15" x14ac:dyDescent="0.4">
      <c r="A94" t="s">
        <v>33</v>
      </c>
      <c r="B94" t="s">
        <v>34</v>
      </c>
      <c r="C94" t="s">
        <v>64</v>
      </c>
      <c r="D94" t="s">
        <v>64</v>
      </c>
      <c r="E94" t="s">
        <v>64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64</v>
      </c>
      <c r="O94" t="s">
        <v>64</v>
      </c>
    </row>
    <row r="95" spans="1:15" x14ac:dyDescent="0.4">
      <c r="A95" t="s">
        <v>33</v>
      </c>
      <c r="B95" t="s">
        <v>105</v>
      </c>
      <c r="C95">
        <v>0</v>
      </c>
      <c r="D95">
        <v>1518</v>
      </c>
      <c r="E95">
        <v>2418</v>
      </c>
      <c r="F95">
        <v>1518</v>
      </c>
      <c r="G95">
        <v>2440.5500000000002</v>
      </c>
      <c r="H95">
        <v>1518</v>
      </c>
      <c r="I95">
        <v>1624.2</v>
      </c>
      <c r="J95">
        <v>1624.2</v>
      </c>
      <c r="K95">
        <v>2629.26</v>
      </c>
      <c r="L95">
        <v>1624.2</v>
      </c>
      <c r="M95">
        <v>1624</v>
      </c>
      <c r="N95">
        <v>1624.2</v>
      </c>
      <c r="O95">
        <v>20162.61</v>
      </c>
    </row>
    <row r="96" spans="1:15" x14ac:dyDescent="0.4">
      <c r="A96" t="s">
        <v>33</v>
      </c>
      <c r="B96" t="s">
        <v>106</v>
      </c>
      <c r="C96">
        <v>856.6</v>
      </c>
      <c r="D96">
        <v>2550.79</v>
      </c>
      <c r="E96">
        <v>0</v>
      </c>
      <c r="F96">
        <v>772.55</v>
      </c>
      <c r="G96">
        <v>772.55</v>
      </c>
      <c r="H96">
        <v>918.53</v>
      </c>
      <c r="I96">
        <v>918.53</v>
      </c>
      <c r="J96">
        <v>263.47000000000003</v>
      </c>
      <c r="K96">
        <v>830.06</v>
      </c>
      <c r="L96">
        <v>200</v>
      </c>
      <c r="M96">
        <v>1080.06</v>
      </c>
      <c r="N96">
        <v>968.53</v>
      </c>
      <c r="O96">
        <v>10131.67</v>
      </c>
    </row>
    <row r="97" spans="1:15" x14ac:dyDescent="0.4">
      <c r="A97" t="s">
        <v>35</v>
      </c>
      <c r="B97" t="s">
        <v>36</v>
      </c>
      <c r="C97" t="s">
        <v>64</v>
      </c>
      <c r="D97" t="s">
        <v>64</v>
      </c>
      <c r="E97" t="s">
        <v>64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64</v>
      </c>
      <c r="O97" t="s">
        <v>64</v>
      </c>
    </row>
    <row r="98" spans="1:15" x14ac:dyDescent="0.4">
      <c r="A98" t="s">
        <v>35</v>
      </c>
      <c r="B98" t="s">
        <v>102</v>
      </c>
      <c r="C98">
        <v>618.29999999999995</v>
      </c>
      <c r="D98">
        <v>552.71</v>
      </c>
      <c r="E98">
        <v>638.36</v>
      </c>
      <c r="F98">
        <v>347.37</v>
      </c>
      <c r="G98">
        <v>648.03</v>
      </c>
      <c r="H98">
        <v>582.23</v>
      </c>
      <c r="I98">
        <v>513.13</v>
      </c>
      <c r="J98">
        <v>648.6</v>
      </c>
      <c r="K98">
        <v>622.88</v>
      </c>
      <c r="L98">
        <v>522.52</v>
      </c>
      <c r="M98">
        <v>517.48</v>
      </c>
      <c r="N98">
        <v>673.93</v>
      </c>
      <c r="O98">
        <v>6885.54</v>
      </c>
    </row>
    <row r="99" spans="1:15" x14ac:dyDescent="0.4">
      <c r="A99" t="s">
        <v>35</v>
      </c>
      <c r="B99" t="s">
        <v>103</v>
      </c>
      <c r="C99">
        <v>579.94000000000005</v>
      </c>
      <c r="D99">
        <v>830.21</v>
      </c>
      <c r="E99">
        <v>962.24</v>
      </c>
      <c r="F99">
        <v>1640.88</v>
      </c>
      <c r="G99">
        <v>866.55</v>
      </c>
      <c r="H99">
        <v>1067.5</v>
      </c>
      <c r="I99">
        <v>512.09</v>
      </c>
      <c r="J99">
        <v>196.11</v>
      </c>
      <c r="K99">
        <v>-858.19</v>
      </c>
      <c r="L99">
        <v>422.7</v>
      </c>
      <c r="M99">
        <v>261.8</v>
      </c>
      <c r="N99">
        <v>241.75</v>
      </c>
      <c r="O99">
        <v>6723.58</v>
      </c>
    </row>
    <row r="100" spans="1:15" x14ac:dyDescent="0.4">
      <c r="A100" t="s">
        <v>37</v>
      </c>
      <c r="B100" t="s">
        <v>38</v>
      </c>
      <c r="C100" t="s">
        <v>64</v>
      </c>
      <c r="D100" t="s">
        <v>64</v>
      </c>
      <c r="E100" t="s">
        <v>64</v>
      </c>
      <c r="F100" t="s">
        <v>64</v>
      </c>
      <c r="G100" t="s">
        <v>64</v>
      </c>
      <c r="H100" t="s">
        <v>64</v>
      </c>
      <c r="I100" t="s">
        <v>64</v>
      </c>
      <c r="J100" t="s">
        <v>64</v>
      </c>
      <c r="K100" t="s">
        <v>64</v>
      </c>
      <c r="L100" t="s">
        <v>64</v>
      </c>
      <c r="M100" t="s">
        <v>64</v>
      </c>
      <c r="N100" t="s">
        <v>64</v>
      </c>
      <c r="O100" t="s">
        <v>64</v>
      </c>
    </row>
    <row r="101" spans="1:15" x14ac:dyDescent="0.4">
      <c r="A101" t="s">
        <v>37</v>
      </c>
      <c r="B101" t="s">
        <v>107</v>
      </c>
      <c r="C101">
        <v>100.28</v>
      </c>
      <c r="D101">
        <v>73.87</v>
      </c>
      <c r="E101">
        <v>73.63</v>
      </c>
      <c r="F101">
        <v>59.92</v>
      </c>
      <c r="G101">
        <v>60.28</v>
      </c>
      <c r="H101">
        <v>480.09</v>
      </c>
      <c r="I101">
        <v>60.34</v>
      </c>
      <c r="J101">
        <v>60.34</v>
      </c>
      <c r="K101">
        <v>60.33</v>
      </c>
      <c r="L101">
        <v>60.33</v>
      </c>
      <c r="M101">
        <v>60.33</v>
      </c>
      <c r="N101">
        <v>280.79000000000002</v>
      </c>
      <c r="O101">
        <v>1430.53</v>
      </c>
    </row>
    <row r="102" spans="1:15" x14ac:dyDescent="0.4">
      <c r="A102" t="s">
        <v>39</v>
      </c>
      <c r="B102" t="s">
        <v>40</v>
      </c>
      <c r="C102" t="s">
        <v>64</v>
      </c>
      <c r="D102" t="s">
        <v>64</v>
      </c>
      <c r="E102" t="s">
        <v>64</v>
      </c>
      <c r="F102" t="s">
        <v>64</v>
      </c>
      <c r="G102" t="s">
        <v>64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64</v>
      </c>
      <c r="O102" t="s">
        <v>64</v>
      </c>
    </row>
    <row r="103" spans="1:15" x14ac:dyDescent="0.4">
      <c r="A103" t="s">
        <v>39</v>
      </c>
      <c r="B103" t="s">
        <v>110</v>
      </c>
      <c r="C103">
        <v>2995.38</v>
      </c>
      <c r="D103">
        <v>2826.21</v>
      </c>
      <c r="E103">
        <v>2403.2199999999998</v>
      </c>
      <c r="F103">
        <v>3412.64</v>
      </c>
      <c r="G103">
        <v>3684.59</v>
      </c>
      <c r="H103">
        <v>4107</v>
      </c>
      <c r="I103">
        <v>4022.19</v>
      </c>
      <c r="J103">
        <v>4275.63</v>
      </c>
      <c r="K103">
        <v>4190.84</v>
      </c>
      <c r="L103">
        <v>4152.2299999999996</v>
      </c>
      <c r="M103">
        <v>4019.53</v>
      </c>
      <c r="N103">
        <v>4028.37</v>
      </c>
      <c r="O103">
        <v>44117.83</v>
      </c>
    </row>
    <row r="104" spans="1:15" x14ac:dyDescent="0.4">
      <c r="A104" t="s">
        <v>41</v>
      </c>
      <c r="B104" t="s">
        <v>42</v>
      </c>
      <c r="C104" t="s">
        <v>64</v>
      </c>
      <c r="D104" t="s">
        <v>64</v>
      </c>
      <c r="E104" t="s">
        <v>64</v>
      </c>
      <c r="F104" t="s">
        <v>64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64</v>
      </c>
      <c r="O104" t="s">
        <v>64</v>
      </c>
    </row>
    <row r="105" spans="1:15" x14ac:dyDescent="0.4">
      <c r="A105" t="s">
        <v>41</v>
      </c>
      <c r="B105" t="s">
        <v>207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3346.78</v>
      </c>
      <c r="K105">
        <v>3346.78</v>
      </c>
      <c r="L105">
        <v>3346.78</v>
      </c>
      <c r="M105">
        <v>3346.78</v>
      </c>
      <c r="N105">
        <v>3346.78</v>
      </c>
      <c r="O105">
        <v>16733.900000000001</v>
      </c>
    </row>
    <row r="106" spans="1:15" x14ac:dyDescent="0.4">
      <c r="A106" t="s">
        <v>43</v>
      </c>
      <c r="B106" t="s">
        <v>44</v>
      </c>
      <c r="C106" t="s">
        <v>64</v>
      </c>
      <c r="D106" t="s">
        <v>64</v>
      </c>
      <c r="E106" t="s">
        <v>64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64</v>
      </c>
      <c r="O106" t="s">
        <v>64</v>
      </c>
    </row>
    <row r="107" spans="1:15" x14ac:dyDescent="0.4">
      <c r="A107" t="s">
        <v>43</v>
      </c>
      <c r="B107" t="s">
        <v>113</v>
      </c>
      <c r="C107">
        <v>7867.13</v>
      </c>
      <c r="D107">
        <v>7867.13</v>
      </c>
      <c r="E107">
        <v>7867.13</v>
      </c>
      <c r="F107">
        <v>7867.13</v>
      </c>
      <c r="G107">
        <v>7867.13</v>
      </c>
      <c r="H107">
        <v>7867.13</v>
      </c>
      <c r="I107">
        <v>21857.1</v>
      </c>
      <c r="J107">
        <v>9033</v>
      </c>
      <c r="K107">
        <v>9033</v>
      </c>
      <c r="L107">
        <v>9033</v>
      </c>
      <c r="M107">
        <v>9033</v>
      </c>
      <c r="N107">
        <v>9033</v>
      </c>
      <c r="O107">
        <v>114224.88</v>
      </c>
    </row>
    <row r="108" spans="1:15" x14ac:dyDescent="0.4">
      <c r="A108" t="s">
        <v>45</v>
      </c>
      <c r="B108" t="s">
        <v>46</v>
      </c>
      <c r="C108">
        <v>28395.29</v>
      </c>
      <c r="D108">
        <v>40113.74</v>
      </c>
      <c r="E108">
        <v>33884.980000000003</v>
      </c>
      <c r="F108">
        <v>44985.02</v>
      </c>
      <c r="G108">
        <v>45515.57</v>
      </c>
      <c r="H108">
        <v>42881.02</v>
      </c>
      <c r="I108">
        <v>47566.48</v>
      </c>
      <c r="J108">
        <v>36949.24</v>
      </c>
      <c r="K108">
        <v>36669.870000000003</v>
      </c>
      <c r="L108">
        <v>44844.480000000003</v>
      </c>
      <c r="M108">
        <v>42761.07</v>
      </c>
      <c r="N108">
        <v>38450.379999999997</v>
      </c>
      <c r="O108">
        <v>483017.14</v>
      </c>
    </row>
    <row r="109" spans="1:15" x14ac:dyDescent="0.4">
      <c r="A109" t="s">
        <v>64</v>
      </c>
      <c r="B109" t="s">
        <v>64</v>
      </c>
      <c r="C109" t="s">
        <v>64</v>
      </c>
      <c r="D109" t="s">
        <v>64</v>
      </c>
      <c r="E109" t="s">
        <v>64</v>
      </c>
      <c r="F109" t="s">
        <v>64</v>
      </c>
      <c r="G109" t="s">
        <v>64</v>
      </c>
      <c r="H109" t="s">
        <v>64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64</v>
      </c>
      <c r="O109" t="s">
        <v>64</v>
      </c>
    </row>
    <row r="110" spans="1:15" x14ac:dyDescent="0.4">
      <c r="A110" t="s">
        <v>47</v>
      </c>
      <c r="B110" t="s">
        <v>48</v>
      </c>
      <c r="C110">
        <v>46489.18</v>
      </c>
      <c r="D110">
        <v>30541.51</v>
      </c>
      <c r="E110">
        <v>26195.63</v>
      </c>
      <c r="F110">
        <v>40330.92</v>
      </c>
      <c r="G110">
        <v>46599.27</v>
      </c>
      <c r="H110">
        <v>59794</v>
      </c>
      <c r="I110">
        <v>53488.29</v>
      </c>
      <c r="J110">
        <v>69941.48</v>
      </c>
      <c r="K110">
        <v>68101.22</v>
      </c>
      <c r="L110">
        <v>58961.29</v>
      </c>
      <c r="M110">
        <v>60727.03</v>
      </c>
      <c r="N110">
        <v>64258.86</v>
      </c>
      <c r="O110">
        <v>625428.68000000005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5282-21E9-4EE3-B196-EDDF8CA3859C}">
  <dimension ref="A1:B26"/>
  <sheetViews>
    <sheetView workbookViewId="0">
      <selection activeCell="A3" sqref="A3"/>
    </sheetView>
  </sheetViews>
  <sheetFormatPr defaultRowHeight="12.3" x14ac:dyDescent="0.4"/>
  <sheetData>
    <row r="1" spans="1:2" x14ac:dyDescent="0.4">
      <c r="A1" t="s">
        <v>73</v>
      </c>
    </row>
    <row r="3" spans="1:2" x14ac:dyDescent="0.4">
      <c r="A3" t="s">
        <v>2</v>
      </c>
      <c r="B3" t="s">
        <v>74</v>
      </c>
    </row>
    <row r="4" spans="1:2" x14ac:dyDescent="0.4">
      <c r="A4" t="s">
        <v>4</v>
      </c>
      <c r="B4" t="s">
        <v>75</v>
      </c>
    </row>
    <row r="5" spans="1:2" x14ac:dyDescent="0.4">
      <c r="A5" t="s">
        <v>6</v>
      </c>
      <c r="B5" t="s">
        <v>76</v>
      </c>
    </row>
    <row r="6" spans="1:2" x14ac:dyDescent="0.4">
      <c r="A6" t="s">
        <v>8</v>
      </c>
      <c r="B6" t="s">
        <v>79</v>
      </c>
    </row>
    <row r="7" spans="1:2" x14ac:dyDescent="0.4">
      <c r="A7" t="s">
        <v>10</v>
      </c>
      <c r="B7" t="s">
        <v>77</v>
      </c>
    </row>
    <row r="8" spans="1:2" x14ac:dyDescent="0.4">
      <c r="A8" t="s">
        <v>12</v>
      </c>
      <c r="B8" t="s">
        <v>78</v>
      </c>
    </row>
    <row r="9" spans="1:2" x14ac:dyDescent="0.4">
      <c r="A9" t="s">
        <v>72</v>
      </c>
      <c r="B9" t="s">
        <v>80</v>
      </c>
    </row>
    <row r="10" spans="1:2" x14ac:dyDescent="0.4">
      <c r="A10" t="s">
        <v>14</v>
      </c>
      <c r="B10" t="s">
        <v>81</v>
      </c>
    </row>
    <row r="11" spans="1:2" x14ac:dyDescent="0.4">
      <c r="A11" t="s">
        <v>16</v>
      </c>
      <c r="B11" t="s">
        <v>82</v>
      </c>
    </row>
    <row r="12" spans="1:2" x14ac:dyDescent="0.4">
      <c r="A12" t="s">
        <v>18</v>
      </c>
      <c r="B12" t="s">
        <v>83</v>
      </c>
    </row>
    <row r="13" spans="1:2" x14ac:dyDescent="0.4">
      <c r="A13" t="s">
        <v>21</v>
      </c>
      <c r="B13" t="s">
        <v>84</v>
      </c>
    </row>
    <row r="14" spans="1:2" x14ac:dyDescent="0.4">
      <c r="A14" t="s">
        <v>23</v>
      </c>
      <c r="B14" t="s">
        <v>85</v>
      </c>
    </row>
    <row r="15" spans="1:2" x14ac:dyDescent="0.4">
      <c r="A15" t="s">
        <v>25</v>
      </c>
      <c r="B15" t="s">
        <v>86</v>
      </c>
    </row>
    <row r="16" spans="1:2" x14ac:dyDescent="0.4">
      <c r="A16" t="s">
        <v>27</v>
      </c>
      <c r="B16" t="s">
        <v>87</v>
      </c>
    </row>
    <row r="17" spans="1:2" x14ac:dyDescent="0.4">
      <c r="A17" t="s">
        <v>29</v>
      </c>
      <c r="B17" t="s">
        <v>88</v>
      </c>
    </row>
    <row r="18" spans="1:2" x14ac:dyDescent="0.4">
      <c r="A18" t="s">
        <v>31</v>
      </c>
      <c r="B18" t="s">
        <v>89</v>
      </c>
    </row>
    <row r="19" spans="1:2" x14ac:dyDescent="0.4">
      <c r="A19" t="s">
        <v>35</v>
      </c>
      <c r="B19" t="s">
        <v>90</v>
      </c>
    </row>
    <row r="20" spans="1:2" x14ac:dyDescent="0.4">
      <c r="A20" t="s">
        <v>37</v>
      </c>
      <c r="B20" t="s">
        <v>91</v>
      </c>
    </row>
    <row r="21" spans="1:2" x14ac:dyDescent="0.4">
      <c r="A21" t="s">
        <v>33</v>
      </c>
      <c r="B21" t="s">
        <v>92</v>
      </c>
    </row>
    <row r="22" spans="1:2" x14ac:dyDescent="0.4">
      <c r="A22" t="s">
        <v>39</v>
      </c>
      <c r="B22" t="s">
        <v>93</v>
      </c>
    </row>
    <row r="23" spans="1:2" x14ac:dyDescent="0.4">
      <c r="A23" t="s">
        <v>43</v>
      </c>
      <c r="B23" t="s">
        <v>94</v>
      </c>
    </row>
    <row r="24" spans="1:2" x14ac:dyDescent="0.4">
      <c r="A24" t="s">
        <v>41</v>
      </c>
      <c r="B24" t="s">
        <v>95</v>
      </c>
    </row>
    <row r="25" spans="1:2" x14ac:dyDescent="0.4">
      <c r="A25" t="s">
        <v>45</v>
      </c>
      <c r="B25" t="s">
        <v>96</v>
      </c>
    </row>
    <row r="26" spans="1:2" x14ac:dyDescent="0.4">
      <c r="A26" t="s">
        <v>47</v>
      </c>
      <c r="B26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8920-94B3-491B-9245-FFA7579BCD54}">
  <dimension ref="A1:O109"/>
  <sheetViews>
    <sheetView workbookViewId="0">
      <selection activeCell="E11" sqref="E11"/>
    </sheetView>
  </sheetViews>
  <sheetFormatPr defaultRowHeight="12.3" x14ac:dyDescent="0.4"/>
  <cols>
    <col min="1" max="1" width="7.27734375" bestFit="1" customWidth="1"/>
    <col min="2" max="2" width="37.44140625" bestFit="1" customWidth="1"/>
    <col min="3" max="6" width="9.33203125" bestFit="1" customWidth="1"/>
    <col min="7" max="7" width="8.71875" bestFit="1" customWidth="1"/>
    <col min="8" max="12" width="9.71875" bestFit="1" customWidth="1"/>
    <col min="13" max="13" width="8.77734375" bestFit="1" customWidth="1"/>
    <col min="14" max="14" width="9.71875" bestFit="1" customWidth="1"/>
    <col min="15" max="15" width="10.71875" bestFit="1" customWidth="1"/>
  </cols>
  <sheetData>
    <row r="1" spans="1:15" x14ac:dyDescent="0.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 x14ac:dyDescent="0.4">
      <c r="A2" t="s">
        <v>64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64</v>
      </c>
      <c r="O2" t="s">
        <v>64</v>
      </c>
    </row>
    <row r="3" spans="1:15" x14ac:dyDescent="0.4">
      <c r="A3" t="s">
        <v>2</v>
      </c>
      <c r="B3" t="s">
        <v>3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</row>
    <row r="4" spans="1:15" x14ac:dyDescent="0.4">
      <c r="A4" t="s">
        <v>2</v>
      </c>
      <c r="B4" t="s">
        <v>122</v>
      </c>
      <c r="C4">
        <v>98319</v>
      </c>
      <c r="D4">
        <v>98319</v>
      </c>
      <c r="E4">
        <v>98319</v>
      </c>
      <c r="F4">
        <v>98319</v>
      </c>
      <c r="G4">
        <v>98319</v>
      </c>
      <c r="H4">
        <v>98319</v>
      </c>
      <c r="I4">
        <v>98319</v>
      </c>
      <c r="J4">
        <v>98319</v>
      </c>
      <c r="K4">
        <v>98319</v>
      </c>
      <c r="L4">
        <v>98319</v>
      </c>
      <c r="M4">
        <v>98319</v>
      </c>
      <c r="N4">
        <v>98319</v>
      </c>
      <c r="O4">
        <v>1179828</v>
      </c>
    </row>
    <row r="5" spans="1:15" x14ac:dyDescent="0.4">
      <c r="A5" t="s">
        <v>4</v>
      </c>
      <c r="B5" t="s">
        <v>5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64</v>
      </c>
      <c r="O5" t="s">
        <v>64</v>
      </c>
    </row>
    <row r="6" spans="1:15" x14ac:dyDescent="0.4">
      <c r="A6" t="s">
        <v>4</v>
      </c>
      <c r="B6" t="s">
        <v>123</v>
      </c>
      <c r="C6">
        <v>-7470</v>
      </c>
      <c r="D6">
        <v>-5694</v>
      </c>
      <c r="E6">
        <v>-4199</v>
      </c>
      <c r="F6">
        <v>-3850</v>
      </c>
      <c r="G6">
        <v>-4278</v>
      </c>
      <c r="H6">
        <v>-4164</v>
      </c>
      <c r="I6">
        <v>-4094</v>
      </c>
      <c r="J6">
        <v>-5332</v>
      </c>
      <c r="K6">
        <v>-3695</v>
      </c>
      <c r="L6">
        <v>-3174</v>
      </c>
      <c r="M6">
        <v>-3385</v>
      </c>
      <c r="N6">
        <v>-3248</v>
      </c>
      <c r="O6">
        <v>-52583</v>
      </c>
    </row>
    <row r="7" spans="1:15" x14ac:dyDescent="0.4">
      <c r="A7" t="s">
        <v>6</v>
      </c>
      <c r="B7" t="s">
        <v>7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64</v>
      </c>
      <c r="O7" t="s">
        <v>64</v>
      </c>
    </row>
    <row r="8" spans="1:15" x14ac:dyDescent="0.4">
      <c r="A8" t="s">
        <v>6</v>
      </c>
      <c r="B8" t="s">
        <v>206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-1.83</v>
      </c>
      <c r="N8">
        <v>-5</v>
      </c>
      <c r="O8">
        <v>-6.83</v>
      </c>
    </row>
    <row r="9" spans="1:15" x14ac:dyDescent="0.4">
      <c r="A9" t="s">
        <v>8</v>
      </c>
      <c r="B9" t="s">
        <v>9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</row>
    <row r="10" spans="1:15" x14ac:dyDescent="0.4">
      <c r="A10" t="s">
        <v>8</v>
      </c>
      <c r="B10" t="s">
        <v>126</v>
      </c>
      <c r="C10">
        <v>-13725.89</v>
      </c>
      <c r="D10">
        <v>-14532.17</v>
      </c>
      <c r="E10">
        <v>-25005.29</v>
      </c>
      <c r="F10">
        <v>-18833.490000000002</v>
      </c>
      <c r="G10">
        <v>-7135.31</v>
      </c>
      <c r="H10">
        <v>-3387.5</v>
      </c>
      <c r="I10">
        <v>-2806.89</v>
      </c>
      <c r="J10">
        <v>-105.42</v>
      </c>
      <c r="K10">
        <v>-1181.42</v>
      </c>
      <c r="L10">
        <v>-2687.1</v>
      </c>
      <c r="M10">
        <v>-3492.74</v>
      </c>
      <c r="N10">
        <v>-2583</v>
      </c>
      <c r="O10">
        <v>-95476.22</v>
      </c>
    </row>
    <row r="11" spans="1:15" x14ac:dyDescent="0.4">
      <c r="A11" t="s">
        <v>8</v>
      </c>
      <c r="B11" t="s">
        <v>127</v>
      </c>
      <c r="C11">
        <v>0</v>
      </c>
      <c r="D11">
        <v>0</v>
      </c>
      <c r="E11">
        <v>0</v>
      </c>
      <c r="F11">
        <v>0</v>
      </c>
      <c r="G11">
        <v>-99.86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-99.86</v>
      </c>
    </row>
    <row r="12" spans="1:15" x14ac:dyDescent="0.4">
      <c r="A12" t="s">
        <v>10</v>
      </c>
      <c r="B12" t="s">
        <v>11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</row>
    <row r="13" spans="1:15" x14ac:dyDescent="0.4">
      <c r="A13" t="s">
        <v>10</v>
      </c>
      <c r="B13" t="s">
        <v>128</v>
      </c>
      <c r="C13">
        <v>732.09</v>
      </c>
      <c r="D13">
        <v>5.94</v>
      </c>
      <c r="E13">
        <v>-2385.7399999999998</v>
      </c>
      <c r="F13">
        <v>789.69</v>
      </c>
      <c r="G13">
        <v>1159.4100000000001</v>
      </c>
      <c r="H13">
        <v>-2248.4499999999998</v>
      </c>
      <c r="I13">
        <v>960.86</v>
      </c>
      <c r="J13">
        <v>64.260000000000005</v>
      </c>
      <c r="K13">
        <v>-1337.56</v>
      </c>
      <c r="L13">
        <v>-133.27000000000001</v>
      </c>
      <c r="M13">
        <v>865.34</v>
      </c>
      <c r="N13">
        <v>-785.12</v>
      </c>
      <c r="O13">
        <v>-2312.5500000000002</v>
      </c>
    </row>
    <row r="14" spans="1:15" x14ac:dyDescent="0.4">
      <c r="A14" t="s">
        <v>10</v>
      </c>
      <c r="B14" t="s">
        <v>129</v>
      </c>
      <c r="C14">
        <v>-7210.84</v>
      </c>
      <c r="D14">
        <v>-15776.46</v>
      </c>
      <c r="E14">
        <v>-13010.57</v>
      </c>
      <c r="F14">
        <v>1307.3599999999999</v>
      </c>
      <c r="G14">
        <v>-4534.37</v>
      </c>
      <c r="H14">
        <v>2586.83</v>
      </c>
      <c r="I14">
        <v>-1844.19</v>
      </c>
      <c r="J14">
        <v>-1177.1500000000001</v>
      </c>
      <c r="K14">
        <v>428.94</v>
      </c>
      <c r="L14">
        <v>-1032.18</v>
      </c>
      <c r="M14">
        <v>66.59</v>
      </c>
      <c r="N14">
        <v>-368.77</v>
      </c>
      <c r="O14">
        <v>-40564.81</v>
      </c>
    </row>
    <row r="15" spans="1:15" x14ac:dyDescent="0.4">
      <c r="A15" t="s">
        <v>12</v>
      </c>
      <c r="B15" t="s">
        <v>13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64</v>
      </c>
      <c r="O15" t="s">
        <v>64</v>
      </c>
    </row>
    <row r="16" spans="1:15" x14ac:dyDescent="0.4">
      <c r="A16" t="s">
        <v>12</v>
      </c>
      <c r="B16" t="s">
        <v>142</v>
      </c>
      <c r="C16">
        <v>0</v>
      </c>
      <c r="D16">
        <v>0</v>
      </c>
      <c r="E16">
        <v>0</v>
      </c>
      <c r="F16">
        <v>0</v>
      </c>
      <c r="G16">
        <v>2670</v>
      </c>
      <c r="H16">
        <v>4240</v>
      </c>
      <c r="I16">
        <v>4151</v>
      </c>
      <c r="J16">
        <v>0</v>
      </c>
      <c r="K16">
        <v>0</v>
      </c>
      <c r="L16">
        <v>0</v>
      </c>
      <c r="M16">
        <v>0</v>
      </c>
      <c r="N16">
        <v>0</v>
      </c>
      <c r="O16">
        <v>11061</v>
      </c>
    </row>
    <row r="17" spans="1:15" x14ac:dyDescent="0.4">
      <c r="A17" t="s">
        <v>14</v>
      </c>
      <c r="B17" t="s">
        <v>15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</row>
    <row r="18" spans="1:15" x14ac:dyDescent="0.4">
      <c r="A18" t="s">
        <v>72</v>
      </c>
      <c r="B18" t="s">
        <v>143</v>
      </c>
      <c r="C18">
        <v>1148.04</v>
      </c>
      <c r="D18">
        <v>1127.42</v>
      </c>
      <c r="E18">
        <v>818.24</v>
      </c>
      <c r="F18">
        <v>919.17</v>
      </c>
      <c r="G18">
        <v>760.65</v>
      </c>
      <c r="H18">
        <v>705.83</v>
      </c>
      <c r="I18">
        <v>760</v>
      </c>
      <c r="J18">
        <v>0</v>
      </c>
      <c r="K18">
        <v>0</v>
      </c>
      <c r="L18">
        <v>0</v>
      </c>
      <c r="M18">
        <v>0</v>
      </c>
      <c r="N18">
        <v>0</v>
      </c>
      <c r="O18">
        <v>6239.35</v>
      </c>
    </row>
    <row r="19" spans="1:15" x14ac:dyDescent="0.4">
      <c r="A19" t="s">
        <v>16</v>
      </c>
      <c r="B19" t="s">
        <v>17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</row>
    <row r="20" spans="1:15" x14ac:dyDescent="0.4">
      <c r="A20" t="s">
        <v>16</v>
      </c>
      <c r="B20" t="s">
        <v>17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4">
      <c r="A21" t="s">
        <v>16</v>
      </c>
      <c r="B21" t="s">
        <v>132</v>
      </c>
      <c r="C21">
        <v>0</v>
      </c>
      <c r="D21">
        <v>0</v>
      </c>
      <c r="E21">
        <v>0</v>
      </c>
      <c r="F21">
        <v>0</v>
      </c>
      <c r="G21">
        <v>135.88999999999999</v>
      </c>
      <c r="H21">
        <v>400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535.89</v>
      </c>
    </row>
    <row r="22" spans="1:15" x14ac:dyDescent="0.4">
      <c r="A22" t="s">
        <v>16</v>
      </c>
      <c r="B22" t="s">
        <v>133</v>
      </c>
      <c r="C22">
        <v>0</v>
      </c>
      <c r="D22">
        <v>0</v>
      </c>
      <c r="E22">
        <v>28.7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28.7</v>
      </c>
    </row>
    <row r="23" spans="1:15" x14ac:dyDescent="0.4">
      <c r="A23" t="s">
        <v>16</v>
      </c>
      <c r="B23" t="s">
        <v>134</v>
      </c>
      <c r="C23">
        <v>105</v>
      </c>
      <c r="D23">
        <v>210</v>
      </c>
      <c r="E23">
        <v>105</v>
      </c>
      <c r="F23">
        <v>141.16999999999999</v>
      </c>
      <c r="G23">
        <v>210</v>
      </c>
      <c r="H23">
        <v>148.16999999999999</v>
      </c>
      <c r="I23">
        <v>210</v>
      </c>
      <c r="J23">
        <v>175</v>
      </c>
      <c r="K23">
        <v>140</v>
      </c>
      <c r="L23">
        <v>175</v>
      </c>
      <c r="M23">
        <v>175</v>
      </c>
      <c r="N23">
        <v>175</v>
      </c>
      <c r="O23">
        <v>1969.34</v>
      </c>
    </row>
    <row r="24" spans="1:15" x14ac:dyDescent="0.4">
      <c r="A24" t="s">
        <v>16</v>
      </c>
      <c r="B24" t="s">
        <v>135</v>
      </c>
      <c r="C24">
        <v>180</v>
      </c>
      <c r="D24">
        <v>180</v>
      </c>
      <c r="E24">
        <v>135</v>
      </c>
      <c r="F24">
        <v>190</v>
      </c>
      <c r="G24">
        <v>145.19999999999999</v>
      </c>
      <c r="H24">
        <v>120</v>
      </c>
      <c r="I24">
        <v>120</v>
      </c>
      <c r="J24">
        <v>120</v>
      </c>
      <c r="K24">
        <v>145</v>
      </c>
      <c r="L24">
        <v>160</v>
      </c>
      <c r="M24">
        <v>160</v>
      </c>
      <c r="N24">
        <v>185</v>
      </c>
      <c r="O24">
        <v>1840.2</v>
      </c>
    </row>
    <row r="25" spans="1:15" x14ac:dyDescent="0.4">
      <c r="A25" t="s">
        <v>16</v>
      </c>
      <c r="B25" t="s">
        <v>136</v>
      </c>
      <c r="C25">
        <v>0</v>
      </c>
      <c r="D25">
        <v>4500</v>
      </c>
      <c r="E25">
        <v>3499</v>
      </c>
      <c r="F25">
        <v>350</v>
      </c>
      <c r="G25">
        <v>0</v>
      </c>
      <c r="H25">
        <v>0</v>
      </c>
      <c r="I25">
        <v>0</v>
      </c>
      <c r="J25">
        <v>2440</v>
      </c>
      <c r="K25">
        <v>0</v>
      </c>
      <c r="L25">
        <v>0</v>
      </c>
      <c r="M25">
        <v>404.5</v>
      </c>
      <c r="N25">
        <v>718.22</v>
      </c>
      <c r="O25">
        <v>11911.72</v>
      </c>
    </row>
    <row r="26" spans="1:15" x14ac:dyDescent="0.4">
      <c r="A26" t="s">
        <v>16</v>
      </c>
      <c r="B26" t="s">
        <v>137</v>
      </c>
      <c r="C26">
        <v>582</v>
      </c>
      <c r="D26">
        <v>339.07</v>
      </c>
      <c r="E26">
        <v>64.77</v>
      </c>
      <c r="F26">
        <v>949.5</v>
      </c>
      <c r="G26">
        <v>410</v>
      </c>
      <c r="H26">
        <v>1474</v>
      </c>
      <c r="I26">
        <v>969</v>
      </c>
      <c r="J26">
        <v>1003.8</v>
      </c>
      <c r="K26">
        <v>863.5</v>
      </c>
      <c r="L26">
        <v>1166.4000000000001</v>
      </c>
      <c r="M26">
        <v>104.9</v>
      </c>
      <c r="N26">
        <v>629.5</v>
      </c>
      <c r="O26">
        <v>8556.44</v>
      </c>
    </row>
    <row r="27" spans="1:15" x14ac:dyDescent="0.4">
      <c r="A27" t="s">
        <v>16</v>
      </c>
      <c r="B27" t="s">
        <v>138</v>
      </c>
      <c r="C27">
        <v>50</v>
      </c>
      <c r="D27">
        <v>0</v>
      </c>
      <c r="E27">
        <v>7</v>
      </c>
      <c r="F27">
        <v>93</v>
      </c>
      <c r="G27">
        <v>0</v>
      </c>
      <c r="H27">
        <v>0</v>
      </c>
      <c r="I27">
        <v>100</v>
      </c>
      <c r="J27">
        <v>200</v>
      </c>
      <c r="K27">
        <v>150</v>
      </c>
      <c r="L27">
        <v>50</v>
      </c>
      <c r="M27">
        <v>50</v>
      </c>
      <c r="N27">
        <v>0</v>
      </c>
      <c r="O27">
        <v>700</v>
      </c>
    </row>
    <row r="28" spans="1:15" x14ac:dyDescent="0.4">
      <c r="A28" t="s">
        <v>16</v>
      </c>
      <c r="B28" t="s">
        <v>139</v>
      </c>
      <c r="C28">
        <v>400</v>
      </c>
      <c r="D28">
        <v>390</v>
      </c>
      <c r="E28">
        <v>149</v>
      </c>
      <c r="F28">
        <v>1347</v>
      </c>
      <c r="G28">
        <v>660</v>
      </c>
      <c r="H28">
        <v>0</v>
      </c>
      <c r="I28">
        <v>75</v>
      </c>
      <c r="J28">
        <v>0</v>
      </c>
      <c r="K28">
        <v>0</v>
      </c>
      <c r="L28">
        <v>225</v>
      </c>
      <c r="M28">
        <v>375</v>
      </c>
      <c r="N28">
        <v>100</v>
      </c>
      <c r="O28">
        <v>3721</v>
      </c>
    </row>
    <row r="29" spans="1:15" x14ac:dyDescent="0.4">
      <c r="A29" t="s">
        <v>16</v>
      </c>
      <c r="B29" t="s">
        <v>140</v>
      </c>
      <c r="C29">
        <v>376.07</v>
      </c>
      <c r="D29">
        <v>480</v>
      </c>
      <c r="E29">
        <v>318.23</v>
      </c>
      <c r="F29">
        <v>952.5</v>
      </c>
      <c r="G29">
        <v>1135.2</v>
      </c>
      <c r="H29">
        <v>1813.87</v>
      </c>
      <c r="I29">
        <v>1627.41</v>
      </c>
      <c r="J29">
        <v>1850.61</v>
      </c>
      <c r="K29">
        <v>1627.42</v>
      </c>
      <c r="L29">
        <v>1600.97</v>
      </c>
      <c r="M29">
        <v>1633.17</v>
      </c>
      <c r="N29">
        <v>1786.45</v>
      </c>
      <c r="O29">
        <v>15201.9</v>
      </c>
    </row>
    <row r="30" spans="1:15" x14ac:dyDescent="0.4">
      <c r="A30" t="s">
        <v>16</v>
      </c>
      <c r="B30" t="s">
        <v>141</v>
      </c>
      <c r="C30">
        <v>420</v>
      </c>
      <c r="D30">
        <v>0</v>
      </c>
      <c r="E30">
        <v>149</v>
      </c>
      <c r="F30">
        <v>637</v>
      </c>
      <c r="G30">
        <v>400</v>
      </c>
      <c r="H30">
        <v>0</v>
      </c>
      <c r="I30">
        <v>0</v>
      </c>
      <c r="J30">
        <v>110</v>
      </c>
      <c r="K30">
        <v>10</v>
      </c>
      <c r="L30">
        <v>110</v>
      </c>
      <c r="M30">
        <v>300</v>
      </c>
      <c r="N30">
        <v>-95</v>
      </c>
      <c r="O30">
        <v>2041</v>
      </c>
    </row>
    <row r="31" spans="1:15" x14ac:dyDescent="0.4">
      <c r="A31" t="s">
        <v>16</v>
      </c>
      <c r="B31" t="s">
        <v>144</v>
      </c>
      <c r="C31">
        <v>44.84</v>
      </c>
      <c r="D31">
        <v>125.97</v>
      </c>
      <c r="E31">
        <v>251.61</v>
      </c>
      <c r="F31">
        <v>619.77</v>
      </c>
      <c r="G31">
        <v>834.89</v>
      </c>
      <c r="H31">
        <v>1166.5</v>
      </c>
      <c r="I31">
        <v>1060.48</v>
      </c>
      <c r="J31">
        <v>0</v>
      </c>
      <c r="K31">
        <v>0</v>
      </c>
      <c r="L31">
        <v>0</v>
      </c>
      <c r="M31">
        <v>0</v>
      </c>
      <c r="N31">
        <v>0</v>
      </c>
      <c r="O31">
        <v>4104.0600000000004</v>
      </c>
    </row>
    <row r="32" spans="1:15" x14ac:dyDescent="0.4">
      <c r="A32" t="s">
        <v>16</v>
      </c>
      <c r="B32" t="s">
        <v>145</v>
      </c>
      <c r="C32">
        <v>239.16</v>
      </c>
      <c r="D32">
        <v>250.48</v>
      </c>
      <c r="E32">
        <v>209.7</v>
      </c>
      <c r="F32">
        <v>309.66000000000003</v>
      </c>
      <c r="G32">
        <v>319.24</v>
      </c>
      <c r="H32">
        <v>372.43</v>
      </c>
      <c r="I32">
        <v>367.1</v>
      </c>
      <c r="J32">
        <v>365.97</v>
      </c>
      <c r="K32">
        <v>371.45</v>
      </c>
      <c r="L32">
        <v>355.16</v>
      </c>
      <c r="M32">
        <v>350.16</v>
      </c>
      <c r="N32">
        <v>346.94</v>
      </c>
      <c r="O32">
        <v>3857.45</v>
      </c>
    </row>
    <row r="33" spans="1:15" x14ac:dyDescent="0.4">
      <c r="A33" t="s">
        <v>16</v>
      </c>
      <c r="B33" t="s">
        <v>146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6275.86</v>
      </c>
      <c r="K33">
        <v>7844.76</v>
      </c>
      <c r="L33">
        <v>6589.54</v>
      </c>
      <c r="M33">
        <v>6528.33</v>
      </c>
      <c r="N33">
        <v>6449.35</v>
      </c>
      <c r="O33">
        <v>33687.839999999997</v>
      </c>
    </row>
    <row r="34" spans="1:15" x14ac:dyDescent="0.4">
      <c r="A34" t="s">
        <v>16</v>
      </c>
      <c r="B34" t="s">
        <v>147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1530.79</v>
      </c>
      <c r="K34">
        <v>0</v>
      </c>
      <c r="L34">
        <v>1041.25</v>
      </c>
      <c r="M34">
        <v>0</v>
      </c>
      <c r="N34">
        <v>69.67</v>
      </c>
      <c r="O34">
        <v>2641.71</v>
      </c>
    </row>
    <row r="35" spans="1:15" x14ac:dyDescent="0.4">
      <c r="A35" t="s">
        <v>16</v>
      </c>
      <c r="B35" t="s">
        <v>203</v>
      </c>
      <c r="C35">
        <v>695</v>
      </c>
      <c r="D35">
        <v>730</v>
      </c>
      <c r="E35">
        <v>626.96</v>
      </c>
      <c r="F35">
        <v>1074.6099999999999</v>
      </c>
      <c r="G35">
        <v>1002.9</v>
      </c>
      <c r="H35">
        <v>1128.3399999999999</v>
      </c>
      <c r="I35">
        <v>1080</v>
      </c>
      <c r="J35">
        <v>1050</v>
      </c>
      <c r="K35">
        <v>1085</v>
      </c>
      <c r="L35">
        <v>1040</v>
      </c>
      <c r="M35">
        <v>1035.68</v>
      </c>
      <c r="N35">
        <v>1015</v>
      </c>
      <c r="O35">
        <v>11563.49</v>
      </c>
    </row>
    <row r="36" spans="1:15" x14ac:dyDescent="0.4">
      <c r="A36" t="s">
        <v>18</v>
      </c>
      <c r="B36" t="s">
        <v>99</v>
      </c>
      <c r="C36">
        <v>74884.47</v>
      </c>
      <c r="D36">
        <v>70655.25</v>
      </c>
      <c r="E36">
        <v>60080.61</v>
      </c>
      <c r="F36">
        <v>85315.94</v>
      </c>
      <c r="G36">
        <v>92114.84</v>
      </c>
      <c r="H36">
        <v>102675.02</v>
      </c>
      <c r="I36">
        <v>101054.77</v>
      </c>
      <c r="J36">
        <v>106890.72</v>
      </c>
      <c r="K36">
        <v>104771.09</v>
      </c>
      <c r="L36">
        <v>103805.77</v>
      </c>
      <c r="M36">
        <v>103488.1</v>
      </c>
      <c r="N36">
        <v>102709.24</v>
      </c>
      <c r="O36">
        <v>1108445.82</v>
      </c>
    </row>
    <row r="37" spans="1:15" x14ac:dyDescent="0.4">
      <c r="A37" t="s">
        <v>64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64</v>
      </c>
      <c r="O37" t="s">
        <v>64</v>
      </c>
    </row>
    <row r="38" spans="1:15" x14ac:dyDescent="0.4">
      <c r="B38" t="s">
        <v>20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64</v>
      </c>
      <c r="O38" t="s">
        <v>64</v>
      </c>
    </row>
    <row r="39" spans="1:15" x14ac:dyDescent="0.4">
      <c r="A39" t="s">
        <v>21</v>
      </c>
      <c r="B39" t="s">
        <v>22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  <c r="O39" t="s">
        <v>64</v>
      </c>
    </row>
    <row r="40" spans="1:15" x14ac:dyDescent="0.4">
      <c r="A40" t="s">
        <v>21</v>
      </c>
      <c r="B40" t="s">
        <v>170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1604.27</v>
      </c>
      <c r="J40">
        <v>0</v>
      </c>
      <c r="K40">
        <v>0</v>
      </c>
      <c r="L40">
        <v>0</v>
      </c>
      <c r="M40">
        <v>0</v>
      </c>
      <c r="N40">
        <v>392</v>
      </c>
      <c r="O40">
        <v>1996.27</v>
      </c>
    </row>
    <row r="41" spans="1:15" x14ac:dyDescent="0.4">
      <c r="A41" t="s">
        <v>21</v>
      </c>
      <c r="B41" t="s">
        <v>171</v>
      </c>
      <c r="C41">
        <v>811.88</v>
      </c>
      <c r="D41">
        <v>811.88</v>
      </c>
      <c r="E41">
        <v>811.88</v>
      </c>
      <c r="F41">
        <v>811.88</v>
      </c>
      <c r="G41">
        <v>811.88</v>
      </c>
      <c r="H41">
        <v>811.88</v>
      </c>
      <c r="I41">
        <v>811.88</v>
      </c>
      <c r="J41">
        <v>811.88</v>
      </c>
      <c r="K41">
        <v>811.88</v>
      </c>
      <c r="L41">
        <v>811.88</v>
      </c>
      <c r="M41">
        <v>811.88</v>
      </c>
      <c r="N41">
        <v>811.88</v>
      </c>
      <c r="O41">
        <v>9742.56</v>
      </c>
    </row>
    <row r="42" spans="1:15" x14ac:dyDescent="0.4">
      <c r="A42" t="s">
        <v>21</v>
      </c>
      <c r="B42" t="s">
        <v>172</v>
      </c>
      <c r="C42">
        <v>0</v>
      </c>
      <c r="D42">
        <v>0</v>
      </c>
      <c r="E42">
        <v>447.55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447.55</v>
      </c>
    </row>
    <row r="43" spans="1:15" x14ac:dyDescent="0.4">
      <c r="A43" t="s">
        <v>21</v>
      </c>
      <c r="B43" t="s">
        <v>173</v>
      </c>
      <c r="C43">
        <v>0</v>
      </c>
      <c r="D43">
        <v>0</v>
      </c>
      <c r="E43">
        <v>107.98</v>
      </c>
      <c r="F43">
        <v>0</v>
      </c>
      <c r="G43">
        <v>363.97</v>
      </c>
      <c r="H43">
        <v>107.98</v>
      </c>
      <c r="I43">
        <v>107.98</v>
      </c>
      <c r="J43">
        <v>118.78</v>
      </c>
      <c r="K43">
        <v>0</v>
      </c>
      <c r="L43">
        <v>237.56</v>
      </c>
      <c r="M43">
        <v>0</v>
      </c>
      <c r="N43">
        <v>237.56</v>
      </c>
      <c r="O43">
        <v>1281.81</v>
      </c>
    </row>
    <row r="44" spans="1:15" x14ac:dyDescent="0.4">
      <c r="A44" t="s">
        <v>21</v>
      </c>
      <c r="B44" t="s">
        <v>174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584.55999999999995</v>
      </c>
      <c r="J44">
        <v>0</v>
      </c>
      <c r="K44">
        <v>681.99</v>
      </c>
      <c r="L44">
        <v>2432.06</v>
      </c>
      <c r="M44">
        <v>0</v>
      </c>
      <c r="N44">
        <v>1694.8</v>
      </c>
      <c r="O44">
        <v>5393.41</v>
      </c>
    </row>
    <row r="45" spans="1:15" x14ac:dyDescent="0.4">
      <c r="A45" t="s">
        <v>21</v>
      </c>
      <c r="B45" t="s">
        <v>175</v>
      </c>
      <c r="C45">
        <v>1203.2</v>
      </c>
      <c r="D45">
        <v>1203.2</v>
      </c>
      <c r="E45">
        <v>1203.21</v>
      </c>
      <c r="F45">
        <v>4690.54</v>
      </c>
      <c r="G45">
        <v>0</v>
      </c>
      <c r="H45">
        <v>2063.27</v>
      </c>
      <c r="I45">
        <v>0</v>
      </c>
      <c r="J45">
        <v>1806.42</v>
      </c>
      <c r="K45">
        <v>0</v>
      </c>
      <c r="L45">
        <v>1815.35</v>
      </c>
      <c r="M45">
        <v>3761.86</v>
      </c>
      <c r="N45">
        <v>0</v>
      </c>
      <c r="O45">
        <v>17747.05</v>
      </c>
    </row>
    <row r="46" spans="1:15" x14ac:dyDescent="0.4">
      <c r="A46" t="s">
        <v>23</v>
      </c>
      <c r="B46" t="s">
        <v>24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64</v>
      </c>
      <c r="O46" t="s">
        <v>64</v>
      </c>
    </row>
    <row r="47" spans="1:15" x14ac:dyDescent="0.4">
      <c r="A47" t="s">
        <v>23</v>
      </c>
      <c r="B47" t="s">
        <v>184</v>
      </c>
      <c r="C47">
        <v>0</v>
      </c>
      <c r="D47">
        <v>21.62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-32.119999999999997</v>
      </c>
      <c r="O47">
        <v>-10.5</v>
      </c>
    </row>
    <row r="48" spans="1:15" x14ac:dyDescent="0.4">
      <c r="A48" t="s">
        <v>23</v>
      </c>
      <c r="B48" t="s">
        <v>185</v>
      </c>
      <c r="C48">
        <v>1828.3</v>
      </c>
      <c r="D48">
        <v>5574.56</v>
      </c>
      <c r="E48">
        <v>1910</v>
      </c>
      <c r="F48">
        <v>3200.6</v>
      </c>
      <c r="G48">
        <v>9664.6200000000008</v>
      </c>
      <c r="H48">
        <v>2274.8000000000002</v>
      </c>
      <c r="I48">
        <v>0</v>
      </c>
      <c r="J48">
        <v>443.83</v>
      </c>
      <c r="K48">
        <v>33.53</v>
      </c>
      <c r="L48">
        <v>1010.8</v>
      </c>
      <c r="M48">
        <v>2716</v>
      </c>
      <c r="N48">
        <v>1377.4</v>
      </c>
      <c r="O48">
        <v>30034.44</v>
      </c>
    </row>
    <row r="49" spans="1:15" x14ac:dyDescent="0.4">
      <c r="A49" t="s">
        <v>23</v>
      </c>
      <c r="B49" t="s">
        <v>186</v>
      </c>
      <c r="C49">
        <v>0</v>
      </c>
      <c r="D49">
        <v>260.68</v>
      </c>
      <c r="E49">
        <v>0</v>
      </c>
      <c r="F49">
        <v>359.23</v>
      </c>
      <c r="G49">
        <v>23.71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643.62</v>
      </c>
    </row>
    <row r="50" spans="1:15" x14ac:dyDescent="0.4">
      <c r="A50" t="s">
        <v>23</v>
      </c>
      <c r="B50" t="s">
        <v>187</v>
      </c>
      <c r="C50">
        <v>63.36</v>
      </c>
      <c r="D50">
        <v>92.88</v>
      </c>
      <c r="E50">
        <v>0</v>
      </c>
      <c r="F50">
        <v>25.94</v>
      </c>
      <c r="G50">
        <v>154.66</v>
      </c>
      <c r="H50">
        <v>103.4</v>
      </c>
      <c r="I50">
        <v>0</v>
      </c>
      <c r="J50">
        <v>0</v>
      </c>
      <c r="K50">
        <v>94.77</v>
      </c>
      <c r="L50">
        <v>12.59</v>
      </c>
      <c r="M50">
        <v>0</v>
      </c>
      <c r="N50">
        <v>0</v>
      </c>
      <c r="O50">
        <v>547.6</v>
      </c>
    </row>
    <row r="51" spans="1:15" x14ac:dyDescent="0.4">
      <c r="A51" t="s">
        <v>23</v>
      </c>
      <c r="B51" t="s">
        <v>188</v>
      </c>
      <c r="C51">
        <v>0</v>
      </c>
      <c r="D51">
        <v>350.02</v>
      </c>
      <c r="E51">
        <v>0</v>
      </c>
      <c r="F51">
        <v>165.75</v>
      </c>
      <c r="G51">
        <v>1213.2</v>
      </c>
      <c r="H51">
        <v>283.89999999999998</v>
      </c>
      <c r="I51">
        <v>496.71</v>
      </c>
      <c r="J51">
        <v>583.30999999999995</v>
      </c>
      <c r="K51">
        <v>158.22999999999999</v>
      </c>
      <c r="L51">
        <v>1544.37</v>
      </c>
      <c r="M51">
        <v>51.96</v>
      </c>
      <c r="N51">
        <v>0</v>
      </c>
      <c r="O51">
        <v>4847.45</v>
      </c>
    </row>
    <row r="52" spans="1:15" x14ac:dyDescent="0.4">
      <c r="A52" t="s">
        <v>23</v>
      </c>
      <c r="B52" t="s">
        <v>189</v>
      </c>
      <c r="C52">
        <v>0</v>
      </c>
      <c r="D52">
        <v>180.03</v>
      </c>
      <c r="E52">
        <v>0</v>
      </c>
      <c r="F52">
        <v>558.27</v>
      </c>
      <c r="G52">
        <v>538.9</v>
      </c>
      <c r="H52">
        <v>270.62</v>
      </c>
      <c r="I52">
        <v>299.13</v>
      </c>
      <c r="J52">
        <v>0</v>
      </c>
      <c r="K52">
        <v>15.99</v>
      </c>
      <c r="L52">
        <v>249.23</v>
      </c>
      <c r="M52">
        <v>0</v>
      </c>
      <c r="N52">
        <v>968.99</v>
      </c>
      <c r="O52">
        <v>3081.16</v>
      </c>
    </row>
    <row r="53" spans="1:15" x14ac:dyDescent="0.4">
      <c r="A53" t="s">
        <v>23</v>
      </c>
      <c r="B53" t="s">
        <v>204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626.6</v>
      </c>
      <c r="L53">
        <v>0</v>
      </c>
      <c r="M53">
        <v>0</v>
      </c>
      <c r="N53">
        <v>0</v>
      </c>
      <c r="O53">
        <v>626.6</v>
      </c>
    </row>
    <row r="54" spans="1:15" x14ac:dyDescent="0.4">
      <c r="A54" t="s">
        <v>23</v>
      </c>
      <c r="B54" t="s">
        <v>190</v>
      </c>
      <c r="C54">
        <v>0</v>
      </c>
      <c r="D54">
        <v>0</v>
      </c>
      <c r="E54">
        <v>0</v>
      </c>
      <c r="F54">
        <v>351.38</v>
      </c>
      <c r="G54">
        <v>10.29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361.67</v>
      </c>
    </row>
    <row r="55" spans="1:15" x14ac:dyDescent="0.4">
      <c r="A55" t="s">
        <v>23</v>
      </c>
      <c r="B55" t="s">
        <v>191</v>
      </c>
      <c r="C55">
        <v>72.53</v>
      </c>
      <c r="D55">
        <v>767.46</v>
      </c>
      <c r="E55">
        <v>0</v>
      </c>
      <c r="F55">
        <v>638.51</v>
      </c>
      <c r="G55">
        <v>-57.85</v>
      </c>
      <c r="H55">
        <v>179.37</v>
      </c>
      <c r="I55">
        <v>0</v>
      </c>
      <c r="J55">
        <v>0</v>
      </c>
      <c r="K55">
        <v>240.17</v>
      </c>
      <c r="L55">
        <v>467.66</v>
      </c>
      <c r="M55">
        <v>45.45</v>
      </c>
      <c r="N55">
        <v>0</v>
      </c>
      <c r="O55">
        <v>2353.3000000000002</v>
      </c>
    </row>
    <row r="56" spans="1:15" x14ac:dyDescent="0.4">
      <c r="A56" t="s">
        <v>23</v>
      </c>
      <c r="B56" t="s">
        <v>205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708.36</v>
      </c>
      <c r="L56">
        <v>0</v>
      </c>
      <c r="M56">
        <v>0</v>
      </c>
      <c r="N56">
        <v>0</v>
      </c>
      <c r="O56">
        <v>708.36</v>
      </c>
    </row>
    <row r="57" spans="1:15" x14ac:dyDescent="0.4">
      <c r="A57" t="s">
        <v>23</v>
      </c>
      <c r="B57" t="s">
        <v>192</v>
      </c>
      <c r="C57">
        <v>0</v>
      </c>
      <c r="D57">
        <v>0</v>
      </c>
      <c r="E57">
        <v>0</v>
      </c>
      <c r="F57">
        <v>110.22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110.22</v>
      </c>
    </row>
    <row r="58" spans="1:15" x14ac:dyDescent="0.4">
      <c r="A58" t="s">
        <v>23</v>
      </c>
      <c r="B58" t="s">
        <v>193</v>
      </c>
      <c r="C58">
        <v>672.8</v>
      </c>
      <c r="D58">
        <v>483.61</v>
      </c>
      <c r="E58">
        <v>0</v>
      </c>
      <c r="F58">
        <v>402</v>
      </c>
      <c r="G58">
        <v>361.15</v>
      </c>
      <c r="H58">
        <v>78.180000000000007</v>
      </c>
      <c r="I58">
        <v>0</v>
      </c>
      <c r="J58">
        <v>0</v>
      </c>
      <c r="K58">
        <v>619.35</v>
      </c>
      <c r="L58">
        <v>416.09</v>
      </c>
      <c r="M58">
        <v>125.12</v>
      </c>
      <c r="N58">
        <v>419.02</v>
      </c>
      <c r="O58">
        <v>3577.32</v>
      </c>
    </row>
    <row r="59" spans="1:15" x14ac:dyDescent="0.4">
      <c r="A59" t="s">
        <v>23</v>
      </c>
      <c r="B59" t="s">
        <v>194</v>
      </c>
      <c r="C59">
        <v>8.51</v>
      </c>
      <c r="D59">
        <v>0</v>
      </c>
      <c r="E59">
        <v>680.42</v>
      </c>
      <c r="F59">
        <v>0</v>
      </c>
      <c r="G59">
        <v>0</v>
      </c>
      <c r="H59">
        <v>980.92</v>
      </c>
      <c r="I59">
        <v>0</v>
      </c>
      <c r="J59">
        <v>0</v>
      </c>
      <c r="K59">
        <v>280.35000000000002</v>
      </c>
      <c r="L59">
        <v>0</v>
      </c>
      <c r="M59">
        <v>0</v>
      </c>
      <c r="N59">
        <v>340.21</v>
      </c>
      <c r="O59">
        <v>2290.41</v>
      </c>
    </row>
    <row r="60" spans="1:15" x14ac:dyDescent="0.4">
      <c r="A60" t="s">
        <v>23</v>
      </c>
      <c r="B60" t="s">
        <v>195</v>
      </c>
      <c r="C60">
        <v>203.55</v>
      </c>
      <c r="D60">
        <v>0</v>
      </c>
      <c r="E60">
        <v>0</v>
      </c>
      <c r="F60">
        <v>0</v>
      </c>
      <c r="G60">
        <v>90.94</v>
      </c>
      <c r="H60">
        <v>0</v>
      </c>
      <c r="I60">
        <v>0</v>
      </c>
      <c r="J60">
        <v>0</v>
      </c>
      <c r="K60">
        <v>106.08</v>
      </c>
      <c r="L60">
        <v>0</v>
      </c>
      <c r="M60">
        <v>0</v>
      </c>
      <c r="N60">
        <v>51.92</v>
      </c>
      <c r="O60">
        <v>452.49</v>
      </c>
    </row>
    <row r="61" spans="1:15" x14ac:dyDescent="0.4">
      <c r="A61" t="s">
        <v>23</v>
      </c>
      <c r="B61" t="s">
        <v>196</v>
      </c>
      <c r="C61">
        <v>345.07</v>
      </c>
      <c r="D61">
        <v>101.71</v>
      </c>
      <c r="E61">
        <v>0</v>
      </c>
      <c r="F61">
        <v>194.84</v>
      </c>
      <c r="G61">
        <v>554.79</v>
      </c>
      <c r="H61">
        <v>61.05</v>
      </c>
      <c r="I61">
        <v>0</v>
      </c>
      <c r="J61">
        <v>0</v>
      </c>
      <c r="K61">
        <v>0</v>
      </c>
      <c r="L61">
        <v>0</v>
      </c>
      <c r="M61">
        <v>49.72</v>
      </c>
      <c r="N61">
        <v>-53.17</v>
      </c>
      <c r="O61">
        <v>1254.01</v>
      </c>
    </row>
    <row r="62" spans="1:15" x14ac:dyDescent="0.4">
      <c r="A62" t="s">
        <v>23</v>
      </c>
      <c r="B62" t="s">
        <v>197</v>
      </c>
      <c r="C62">
        <v>0</v>
      </c>
      <c r="D62">
        <v>0</v>
      </c>
      <c r="E62">
        <v>0</v>
      </c>
      <c r="F62">
        <v>423.63</v>
      </c>
      <c r="G62">
        <v>57.93</v>
      </c>
      <c r="H62">
        <v>330.04</v>
      </c>
      <c r="I62">
        <v>38.549999999999997</v>
      </c>
      <c r="J62">
        <v>0</v>
      </c>
      <c r="K62">
        <v>110.54</v>
      </c>
      <c r="L62">
        <v>77.12</v>
      </c>
      <c r="M62">
        <v>180.43</v>
      </c>
      <c r="N62">
        <v>29.42</v>
      </c>
      <c r="O62">
        <v>1247.6600000000001</v>
      </c>
    </row>
    <row r="63" spans="1:15" x14ac:dyDescent="0.4">
      <c r="A63" t="s">
        <v>23</v>
      </c>
      <c r="B63" t="s">
        <v>198</v>
      </c>
      <c r="C63">
        <v>238.26</v>
      </c>
      <c r="D63">
        <v>87.57</v>
      </c>
      <c r="E63">
        <v>0</v>
      </c>
      <c r="F63">
        <v>328.26</v>
      </c>
      <c r="G63">
        <v>234.19</v>
      </c>
      <c r="H63">
        <v>70.58</v>
      </c>
      <c r="I63">
        <v>0</v>
      </c>
      <c r="J63">
        <v>0</v>
      </c>
      <c r="K63">
        <v>0</v>
      </c>
      <c r="L63">
        <v>40.619999999999997</v>
      </c>
      <c r="M63">
        <v>69.709999999999994</v>
      </c>
      <c r="N63">
        <v>87.85</v>
      </c>
      <c r="O63">
        <v>1157.04</v>
      </c>
    </row>
    <row r="64" spans="1:15" x14ac:dyDescent="0.4">
      <c r="A64" t="s">
        <v>23</v>
      </c>
      <c r="B64" t="s">
        <v>199</v>
      </c>
      <c r="C64">
        <v>140</v>
      </c>
      <c r="D64">
        <v>1367.4</v>
      </c>
      <c r="E64">
        <v>1195</v>
      </c>
      <c r="F64">
        <v>1258.54</v>
      </c>
      <c r="G64">
        <v>94.9</v>
      </c>
      <c r="H64">
        <v>3722.05</v>
      </c>
      <c r="I64">
        <v>545</v>
      </c>
      <c r="J64">
        <v>0</v>
      </c>
      <c r="K64">
        <v>77.709999999999994</v>
      </c>
      <c r="L64">
        <v>0</v>
      </c>
      <c r="M64">
        <v>1210</v>
      </c>
      <c r="N64">
        <v>125</v>
      </c>
      <c r="O64">
        <v>9735.6</v>
      </c>
    </row>
    <row r="65" spans="1:15" x14ac:dyDescent="0.4">
      <c r="A65" t="s">
        <v>23</v>
      </c>
      <c r="B65" t="s">
        <v>200</v>
      </c>
      <c r="C65">
        <v>0</v>
      </c>
      <c r="D65">
        <v>48.44</v>
      </c>
      <c r="E65">
        <v>0</v>
      </c>
      <c r="F65">
        <v>116.77</v>
      </c>
      <c r="G65">
        <v>67.040000000000006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33.53</v>
      </c>
      <c r="O65">
        <v>265.77999999999997</v>
      </c>
    </row>
    <row r="66" spans="1:15" x14ac:dyDescent="0.4">
      <c r="A66" t="s">
        <v>23</v>
      </c>
      <c r="B66" t="s">
        <v>201</v>
      </c>
      <c r="C66">
        <v>0</v>
      </c>
      <c r="D66">
        <v>0</v>
      </c>
      <c r="E66">
        <v>0</v>
      </c>
      <c r="F66">
        <v>0</v>
      </c>
      <c r="G66">
        <v>0</v>
      </c>
      <c r="H66">
        <v>-88.57</v>
      </c>
      <c r="I66">
        <v>0</v>
      </c>
      <c r="J66">
        <v>0</v>
      </c>
      <c r="K66">
        <v>-830.06</v>
      </c>
      <c r="L66">
        <v>0</v>
      </c>
      <c r="M66">
        <v>0</v>
      </c>
      <c r="N66">
        <v>-95.17</v>
      </c>
      <c r="O66">
        <v>-1013.8</v>
      </c>
    </row>
    <row r="67" spans="1:15" x14ac:dyDescent="0.4">
      <c r="A67" t="s">
        <v>25</v>
      </c>
      <c r="B67" t="s">
        <v>26</v>
      </c>
      <c r="C67" t="s">
        <v>64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64</v>
      </c>
      <c r="O67" t="s">
        <v>64</v>
      </c>
    </row>
    <row r="68" spans="1:15" x14ac:dyDescent="0.4">
      <c r="A68" t="s">
        <v>25</v>
      </c>
      <c r="B68" t="s">
        <v>159</v>
      </c>
      <c r="C68">
        <v>10.8</v>
      </c>
      <c r="D68">
        <v>55.04</v>
      </c>
      <c r="E68">
        <v>263.47000000000003</v>
      </c>
      <c r="F68">
        <v>14.6</v>
      </c>
      <c r="G68">
        <v>638.36</v>
      </c>
      <c r="H68">
        <v>34.770000000000003</v>
      </c>
      <c r="I68">
        <v>16.899999999999999</v>
      </c>
      <c r="J68">
        <v>217.3</v>
      </c>
      <c r="K68">
        <v>9.4600000000000009</v>
      </c>
      <c r="L68">
        <v>9.6</v>
      </c>
      <c r="M68">
        <v>315.18</v>
      </c>
      <c r="N68">
        <v>10</v>
      </c>
      <c r="O68">
        <v>1595.48</v>
      </c>
    </row>
    <row r="69" spans="1:15" x14ac:dyDescent="0.4">
      <c r="A69" t="s">
        <v>25</v>
      </c>
      <c r="B69" t="s">
        <v>160</v>
      </c>
      <c r="C69">
        <v>0</v>
      </c>
      <c r="D69">
        <v>34.119999999999997</v>
      </c>
      <c r="E69">
        <v>90.12</v>
      </c>
      <c r="F69">
        <v>8.76</v>
      </c>
      <c r="G69">
        <v>23.68</v>
      </c>
      <c r="H69">
        <v>56.94</v>
      </c>
      <c r="I69">
        <v>28.57</v>
      </c>
      <c r="J69">
        <v>21.5</v>
      </c>
      <c r="K69">
        <v>42.99</v>
      </c>
      <c r="L69">
        <v>25.07</v>
      </c>
      <c r="M69">
        <v>64.13</v>
      </c>
      <c r="N69">
        <v>60.83</v>
      </c>
      <c r="O69">
        <v>456.71</v>
      </c>
    </row>
    <row r="70" spans="1:15" x14ac:dyDescent="0.4">
      <c r="A70" t="s">
        <v>25</v>
      </c>
      <c r="B70" t="s">
        <v>161</v>
      </c>
      <c r="C70">
        <v>148.74</v>
      </c>
      <c r="D70">
        <v>0</v>
      </c>
      <c r="E70">
        <v>200</v>
      </c>
      <c r="F70">
        <v>385</v>
      </c>
      <c r="G70">
        <v>1027.5999999999999</v>
      </c>
      <c r="H70">
        <v>0</v>
      </c>
      <c r="I70">
        <v>0</v>
      </c>
      <c r="J70">
        <v>189</v>
      </c>
      <c r="K70">
        <v>0</v>
      </c>
      <c r="L70">
        <v>837.2</v>
      </c>
      <c r="M70">
        <v>249.98</v>
      </c>
      <c r="N70">
        <v>0</v>
      </c>
      <c r="O70">
        <v>3037.52</v>
      </c>
    </row>
    <row r="71" spans="1:15" x14ac:dyDescent="0.4">
      <c r="A71" t="s">
        <v>25</v>
      </c>
      <c r="B71" t="s">
        <v>162</v>
      </c>
      <c r="C71">
        <v>55.36</v>
      </c>
      <c r="D71">
        <v>0</v>
      </c>
      <c r="E71">
        <v>0</v>
      </c>
      <c r="F71">
        <v>134.56</v>
      </c>
      <c r="G71">
        <v>0</v>
      </c>
      <c r="H71">
        <v>0</v>
      </c>
      <c r="I71">
        <v>0</v>
      </c>
      <c r="J71">
        <v>0</v>
      </c>
      <c r="K71">
        <v>0</v>
      </c>
      <c r="L71">
        <v>796.31</v>
      </c>
      <c r="M71">
        <v>1592.6</v>
      </c>
      <c r="N71">
        <v>0</v>
      </c>
      <c r="O71">
        <v>2578.83</v>
      </c>
    </row>
    <row r="72" spans="1:15" x14ac:dyDescent="0.4">
      <c r="A72" t="s">
        <v>25</v>
      </c>
      <c r="B72" t="s">
        <v>163</v>
      </c>
      <c r="C72">
        <v>93.36</v>
      </c>
      <c r="D72">
        <v>93.36</v>
      </c>
      <c r="E72">
        <v>93.36</v>
      </c>
      <c r="F72">
        <v>93.36</v>
      </c>
      <c r="G72">
        <v>93.36</v>
      </c>
      <c r="H72">
        <v>93.36</v>
      </c>
      <c r="I72">
        <v>0</v>
      </c>
      <c r="J72">
        <v>6.81</v>
      </c>
      <c r="K72">
        <v>0</v>
      </c>
      <c r="L72">
        <v>3.2</v>
      </c>
      <c r="M72">
        <v>30.44</v>
      </c>
      <c r="N72">
        <v>30.44</v>
      </c>
      <c r="O72">
        <v>631.04999999999995</v>
      </c>
    </row>
    <row r="73" spans="1:15" x14ac:dyDescent="0.4">
      <c r="A73" t="s">
        <v>25</v>
      </c>
      <c r="B73" t="s">
        <v>164</v>
      </c>
      <c r="C73">
        <v>0</v>
      </c>
      <c r="D73">
        <v>2482.98</v>
      </c>
      <c r="E73">
        <v>0</v>
      </c>
      <c r="F73">
        <v>0</v>
      </c>
      <c r="G73">
        <v>0</v>
      </c>
      <c r="H73">
        <v>0</v>
      </c>
      <c r="I73">
        <v>1696.25</v>
      </c>
      <c r="J73">
        <v>0</v>
      </c>
      <c r="K73">
        <v>0</v>
      </c>
      <c r="L73">
        <v>0</v>
      </c>
      <c r="M73">
        <v>0</v>
      </c>
      <c r="N73">
        <v>0</v>
      </c>
      <c r="O73">
        <v>4179.2299999999996</v>
      </c>
    </row>
    <row r="74" spans="1:15" x14ac:dyDescent="0.4">
      <c r="A74" t="s">
        <v>25</v>
      </c>
      <c r="B74" t="s">
        <v>165</v>
      </c>
      <c r="C74">
        <v>200</v>
      </c>
      <c r="D74">
        <v>188.95</v>
      </c>
      <c r="E74">
        <v>0</v>
      </c>
      <c r="F74">
        <v>0</v>
      </c>
      <c r="G74">
        <v>0</v>
      </c>
      <c r="H74">
        <v>0</v>
      </c>
      <c r="I74">
        <v>154.22</v>
      </c>
      <c r="J74">
        <v>0</v>
      </c>
      <c r="K74">
        <v>0</v>
      </c>
      <c r="L74">
        <v>0</v>
      </c>
      <c r="M74">
        <v>0</v>
      </c>
      <c r="N74">
        <v>0</v>
      </c>
      <c r="O74">
        <v>543.16999999999996</v>
      </c>
    </row>
    <row r="75" spans="1:15" x14ac:dyDescent="0.4">
      <c r="A75" t="s">
        <v>25</v>
      </c>
      <c r="B75" t="s">
        <v>166</v>
      </c>
      <c r="C75">
        <v>728.9</v>
      </c>
      <c r="D75">
        <v>27.76</v>
      </c>
      <c r="E75">
        <v>904.74</v>
      </c>
      <c r="F75">
        <v>872.29</v>
      </c>
      <c r="G75">
        <v>223.25</v>
      </c>
      <c r="H75">
        <v>101.27</v>
      </c>
      <c r="I75">
        <v>218.67</v>
      </c>
      <c r="J75">
        <v>2043.21</v>
      </c>
      <c r="K75">
        <v>190.01</v>
      </c>
      <c r="L75">
        <v>128.94999999999999</v>
      </c>
      <c r="M75">
        <v>721.66</v>
      </c>
      <c r="N75">
        <v>755.99</v>
      </c>
      <c r="O75">
        <v>6916.7</v>
      </c>
    </row>
    <row r="76" spans="1:15" x14ac:dyDescent="0.4">
      <c r="A76" t="s">
        <v>25</v>
      </c>
      <c r="B76" t="s">
        <v>167</v>
      </c>
      <c r="C76">
        <v>164.7</v>
      </c>
      <c r="D76">
        <v>195.23</v>
      </c>
      <c r="E76">
        <v>184.09</v>
      </c>
      <c r="F76">
        <v>164.41</v>
      </c>
      <c r="G76">
        <v>234.88</v>
      </c>
      <c r="H76">
        <v>158.19999999999999</v>
      </c>
      <c r="I76">
        <v>130.54</v>
      </c>
      <c r="J76">
        <v>137.27000000000001</v>
      </c>
      <c r="K76">
        <v>186.47</v>
      </c>
      <c r="L76">
        <v>188.54</v>
      </c>
      <c r="M76">
        <v>142.34</v>
      </c>
      <c r="N76">
        <v>106.75</v>
      </c>
      <c r="O76">
        <v>1993.42</v>
      </c>
    </row>
    <row r="77" spans="1:15" x14ac:dyDescent="0.4">
      <c r="A77" t="s">
        <v>25</v>
      </c>
      <c r="B77" t="s">
        <v>168</v>
      </c>
      <c r="C77">
        <v>26.52</v>
      </c>
      <c r="D77">
        <v>0</v>
      </c>
      <c r="E77">
        <v>230.17</v>
      </c>
      <c r="F77">
        <v>226.67</v>
      </c>
      <c r="G77">
        <v>0</v>
      </c>
      <c r="H77">
        <v>0</v>
      </c>
      <c r="I77">
        <v>475</v>
      </c>
      <c r="J77">
        <v>0</v>
      </c>
      <c r="K77">
        <v>0</v>
      </c>
      <c r="L77">
        <v>0</v>
      </c>
      <c r="M77">
        <v>0</v>
      </c>
      <c r="N77">
        <v>0</v>
      </c>
      <c r="O77">
        <v>958.36</v>
      </c>
    </row>
    <row r="78" spans="1:15" x14ac:dyDescent="0.4">
      <c r="A78" t="s">
        <v>27</v>
      </c>
      <c r="B78" t="s">
        <v>28</v>
      </c>
      <c r="C78" t="s">
        <v>64</v>
      </c>
      <c r="D78" t="s">
        <v>64</v>
      </c>
      <c r="E78" t="s">
        <v>64</v>
      </c>
      <c r="F78" t="s">
        <v>64</v>
      </c>
      <c r="G78" t="s">
        <v>64</v>
      </c>
      <c r="H78" t="s">
        <v>64</v>
      </c>
      <c r="I78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64</v>
      </c>
      <c r="O78" t="s">
        <v>64</v>
      </c>
    </row>
    <row r="79" spans="1:15" x14ac:dyDescent="0.4">
      <c r="A79" t="s">
        <v>27</v>
      </c>
      <c r="B79" t="s">
        <v>177</v>
      </c>
      <c r="C79">
        <v>0</v>
      </c>
      <c r="D79">
        <v>0</v>
      </c>
      <c r="E79">
        <v>0</v>
      </c>
      <c r="F79">
        <v>1377.78</v>
      </c>
      <c r="G79">
        <v>908</v>
      </c>
      <c r="H79">
        <v>0</v>
      </c>
      <c r="I79">
        <v>0</v>
      </c>
      <c r="J79">
        <v>0</v>
      </c>
      <c r="K79">
        <v>1816</v>
      </c>
      <c r="L79">
        <v>0</v>
      </c>
      <c r="M79">
        <v>908</v>
      </c>
      <c r="N79">
        <v>454</v>
      </c>
      <c r="O79">
        <v>5463.78</v>
      </c>
    </row>
    <row r="80" spans="1:15" x14ac:dyDescent="0.4">
      <c r="A80" t="s">
        <v>27</v>
      </c>
      <c r="B80" t="s">
        <v>178</v>
      </c>
      <c r="C80">
        <v>0</v>
      </c>
      <c r="D80">
        <v>0</v>
      </c>
      <c r="E80">
        <v>0</v>
      </c>
      <c r="F80">
        <v>141.25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141.25</v>
      </c>
    </row>
    <row r="81" spans="1:15" x14ac:dyDescent="0.4">
      <c r="A81" t="s">
        <v>27</v>
      </c>
      <c r="B81" t="s">
        <v>179</v>
      </c>
      <c r="C81">
        <v>0</v>
      </c>
      <c r="D81">
        <v>998.08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998.08</v>
      </c>
    </row>
    <row r="82" spans="1:15" x14ac:dyDescent="0.4">
      <c r="A82" t="s">
        <v>27</v>
      </c>
      <c r="B82" t="s">
        <v>180</v>
      </c>
      <c r="C82">
        <v>0</v>
      </c>
      <c r="D82">
        <v>0</v>
      </c>
      <c r="E82">
        <v>127.55</v>
      </c>
      <c r="F82">
        <v>0</v>
      </c>
      <c r="G82">
        <v>138.5</v>
      </c>
      <c r="H82">
        <v>0</v>
      </c>
      <c r="I82">
        <v>0</v>
      </c>
      <c r="J82">
        <v>0</v>
      </c>
      <c r="K82">
        <v>250</v>
      </c>
      <c r="L82">
        <v>0</v>
      </c>
      <c r="M82">
        <v>0</v>
      </c>
      <c r="N82">
        <v>0</v>
      </c>
      <c r="O82">
        <v>516.04999999999995</v>
      </c>
    </row>
    <row r="83" spans="1:15" x14ac:dyDescent="0.4">
      <c r="A83" t="s">
        <v>27</v>
      </c>
      <c r="B83" t="s">
        <v>181</v>
      </c>
      <c r="C83">
        <v>0</v>
      </c>
      <c r="D83">
        <v>473.05</v>
      </c>
      <c r="E83">
        <v>127.55</v>
      </c>
      <c r="F83">
        <v>0</v>
      </c>
      <c r="G83">
        <v>37.49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638.09</v>
      </c>
    </row>
    <row r="84" spans="1:15" x14ac:dyDescent="0.4">
      <c r="A84" t="s">
        <v>29</v>
      </c>
      <c r="B84" t="s">
        <v>30</v>
      </c>
      <c r="C84" t="s">
        <v>64</v>
      </c>
      <c r="D84" t="s">
        <v>64</v>
      </c>
      <c r="E84" t="s">
        <v>64</v>
      </c>
      <c r="F84" t="s">
        <v>64</v>
      </c>
      <c r="G84" t="s">
        <v>64</v>
      </c>
      <c r="H84" t="s">
        <v>64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64</v>
      </c>
      <c r="O84" t="s">
        <v>64</v>
      </c>
    </row>
    <row r="85" spans="1:15" x14ac:dyDescent="0.4">
      <c r="A85" t="s">
        <v>29</v>
      </c>
      <c r="B85" t="s">
        <v>151</v>
      </c>
      <c r="C85">
        <v>1341.2</v>
      </c>
      <c r="D85">
        <v>1152.2</v>
      </c>
      <c r="E85">
        <v>4463.55</v>
      </c>
      <c r="F85">
        <v>3231.2</v>
      </c>
      <c r="G85">
        <v>3735.21</v>
      </c>
      <c r="H85">
        <v>3939.96</v>
      </c>
      <c r="I85">
        <v>3627.58</v>
      </c>
      <c r="J85">
        <v>5111.93</v>
      </c>
      <c r="K85">
        <v>3638.08</v>
      </c>
      <c r="L85">
        <v>4464.96</v>
      </c>
      <c r="M85">
        <v>3900.58</v>
      </c>
      <c r="N85">
        <v>2535.58</v>
      </c>
      <c r="O85">
        <v>41142.03</v>
      </c>
    </row>
    <row r="86" spans="1:15" x14ac:dyDescent="0.4">
      <c r="A86" t="s">
        <v>29</v>
      </c>
      <c r="B86" t="s">
        <v>152</v>
      </c>
      <c r="C86">
        <v>0</v>
      </c>
      <c r="D86">
        <v>0</v>
      </c>
      <c r="E86">
        <v>0</v>
      </c>
      <c r="F86">
        <v>0</v>
      </c>
      <c r="G86">
        <v>0</v>
      </c>
      <c r="H86">
        <v>1277.72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1277.72</v>
      </c>
    </row>
    <row r="87" spans="1:15" x14ac:dyDescent="0.4">
      <c r="A87" t="s">
        <v>29</v>
      </c>
      <c r="B87" t="s">
        <v>153</v>
      </c>
      <c r="C87">
        <v>0</v>
      </c>
      <c r="D87">
        <v>769.45</v>
      </c>
      <c r="E87">
        <v>454.35</v>
      </c>
      <c r="F87">
        <v>1214.27</v>
      </c>
      <c r="G87">
        <v>214.5</v>
      </c>
      <c r="H87">
        <v>3322.8</v>
      </c>
      <c r="I87">
        <v>1238.45</v>
      </c>
      <c r="J87">
        <v>0</v>
      </c>
      <c r="K87">
        <v>390</v>
      </c>
      <c r="L87">
        <v>2930.13</v>
      </c>
      <c r="M87">
        <v>0</v>
      </c>
      <c r="N87">
        <v>1733.56</v>
      </c>
      <c r="O87">
        <v>12267.51</v>
      </c>
    </row>
    <row r="88" spans="1:15" x14ac:dyDescent="0.4">
      <c r="A88" t="s">
        <v>29</v>
      </c>
      <c r="B88" t="s">
        <v>154</v>
      </c>
      <c r="C88">
        <v>0</v>
      </c>
      <c r="D88">
        <v>400</v>
      </c>
      <c r="E88">
        <v>0</v>
      </c>
      <c r="F88">
        <v>1800</v>
      </c>
      <c r="G88">
        <v>1100</v>
      </c>
      <c r="H88">
        <v>600</v>
      </c>
      <c r="I88">
        <v>300</v>
      </c>
      <c r="J88">
        <v>0</v>
      </c>
      <c r="K88">
        <v>480</v>
      </c>
      <c r="L88">
        <v>1080</v>
      </c>
      <c r="M88">
        <v>120</v>
      </c>
      <c r="N88">
        <v>135</v>
      </c>
      <c r="O88">
        <v>6015</v>
      </c>
    </row>
    <row r="89" spans="1:15" x14ac:dyDescent="0.4">
      <c r="A89" t="s">
        <v>29</v>
      </c>
      <c r="B89" t="s">
        <v>155</v>
      </c>
      <c r="C89">
        <v>153.51</v>
      </c>
      <c r="D89">
        <v>178.7</v>
      </c>
      <c r="E89">
        <v>350.5</v>
      </c>
      <c r="F89">
        <v>423.56</v>
      </c>
      <c r="G89">
        <v>380.46</v>
      </c>
      <c r="H89">
        <v>341.75</v>
      </c>
      <c r="I89">
        <v>271.95</v>
      </c>
      <c r="J89">
        <v>666.79</v>
      </c>
      <c r="K89">
        <v>520.01</v>
      </c>
      <c r="L89">
        <v>435.68</v>
      </c>
      <c r="M89">
        <v>300.16000000000003</v>
      </c>
      <c r="N89">
        <v>200.95</v>
      </c>
      <c r="O89">
        <v>4224.0200000000004</v>
      </c>
    </row>
    <row r="90" spans="1:15" x14ac:dyDescent="0.4">
      <c r="A90" t="s">
        <v>29</v>
      </c>
      <c r="B90" t="s">
        <v>156</v>
      </c>
      <c r="C90">
        <v>23.36</v>
      </c>
      <c r="D90">
        <v>2.14</v>
      </c>
      <c r="E90">
        <v>2.48</v>
      </c>
      <c r="F90">
        <v>7.11</v>
      </c>
      <c r="G90">
        <v>27.14</v>
      </c>
      <c r="H90">
        <v>14.83</v>
      </c>
      <c r="I90">
        <v>7.24</v>
      </c>
      <c r="J90">
        <v>5.79</v>
      </c>
      <c r="K90">
        <v>4.76</v>
      </c>
      <c r="L90">
        <v>19.420000000000002</v>
      </c>
      <c r="M90">
        <v>18.13</v>
      </c>
      <c r="N90">
        <v>9.49</v>
      </c>
      <c r="O90">
        <v>141.88999999999999</v>
      </c>
    </row>
    <row r="91" spans="1:15" x14ac:dyDescent="0.4">
      <c r="A91" t="s">
        <v>31</v>
      </c>
      <c r="B91" t="s">
        <v>32</v>
      </c>
      <c r="C91" t="s">
        <v>64</v>
      </c>
      <c r="D91" t="s">
        <v>64</v>
      </c>
      <c r="E91" t="s">
        <v>64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64</v>
      </c>
      <c r="O91" t="s">
        <v>64</v>
      </c>
    </row>
    <row r="92" spans="1:15" x14ac:dyDescent="0.4">
      <c r="A92" t="s">
        <v>31</v>
      </c>
      <c r="B92" t="s">
        <v>104</v>
      </c>
      <c r="C92">
        <v>6843.75</v>
      </c>
      <c r="D92">
        <v>5492.7</v>
      </c>
      <c r="E92">
        <v>5674.43</v>
      </c>
      <c r="F92">
        <v>5635.35</v>
      </c>
      <c r="G92">
        <v>6209.14</v>
      </c>
      <c r="H92">
        <v>5149.47</v>
      </c>
      <c r="I92">
        <v>5405.45</v>
      </c>
      <c r="J92">
        <v>5337.29</v>
      </c>
      <c r="K92">
        <v>5551.64</v>
      </c>
      <c r="L92">
        <v>5448.33</v>
      </c>
      <c r="M92">
        <v>5432.76</v>
      </c>
      <c r="N92">
        <v>5831.32</v>
      </c>
      <c r="O92">
        <v>68011.63</v>
      </c>
    </row>
    <row r="93" spans="1:15" x14ac:dyDescent="0.4">
      <c r="A93" t="s">
        <v>33</v>
      </c>
      <c r="B93" t="s">
        <v>34</v>
      </c>
      <c r="C93" t="s">
        <v>64</v>
      </c>
      <c r="D93" t="s">
        <v>64</v>
      </c>
      <c r="E93" t="s">
        <v>64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64</v>
      </c>
      <c r="O93" t="s">
        <v>64</v>
      </c>
    </row>
    <row r="94" spans="1:15" x14ac:dyDescent="0.4">
      <c r="A94" t="s">
        <v>33</v>
      </c>
      <c r="B94" t="s">
        <v>105</v>
      </c>
      <c r="C94">
        <v>0</v>
      </c>
      <c r="D94">
        <v>1518</v>
      </c>
      <c r="E94">
        <v>2418</v>
      </c>
      <c r="F94">
        <v>1518</v>
      </c>
      <c r="G94">
        <v>2440.5500000000002</v>
      </c>
      <c r="H94">
        <v>1518</v>
      </c>
      <c r="I94">
        <v>1624.2</v>
      </c>
      <c r="J94">
        <v>1624.2</v>
      </c>
      <c r="K94">
        <v>2629.26</v>
      </c>
      <c r="L94">
        <v>1624.2</v>
      </c>
      <c r="M94">
        <v>1624</v>
      </c>
      <c r="N94">
        <v>1624.2</v>
      </c>
      <c r="O94">
        <v>20162.61</v>
      </c>
    </row>
    <row r="95" spans="1:15" x14ac:dyDescent="0.4">
      <c r="A95" t="s">
        <v>33</v>
      </c>
      <c r="B95" t="s">
        <v>106</v>
      </c>
      <c r="C95">
        <v>856.6</v>
      </c>
      <c r="D95">
        <v>2550.79</v>
      </c>
      <c r="E95">
        <v>0</v>
      </c>
      <c r="F95">
        <v>772.55</v>
      </c>
      <c r="G95">
        <v>772.55</v>
      </c>
      <c r="H95">
        <v>918.53</v>
      </c>
      <c r="I95">
        <v>918.53</v>
      </c>
      <c r="J95">
        <v>263.47000000000003</v>
      </c>
      <c r="K95">
        <v>830.06</v>
      </c>
      <c r="L95">
        <v>200</v>
      </c>
      <c r="M95">
        <v>1080.06</v>
      </c>
      <c r="N95">
        <v>968.53</v>
      </c>
      <c r="O95">
        <v>10131.67</v>
      </c>
    </row>
    <row r="96" spans="1:15" x14ac:dyDescent="0.4">
      <c r="A96" t="s">
        <v>35</v>
      </c>
      <c r="B96" t="s">
        <v>36</v>
      </c>
      <c r="C96" t="s">
        <v>64</v>
      </c>
      <c r="D96" t="s">
        <v>64</v>
      </c>
      <c r="E96" t="s">
        <v>64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64</v>
      </c>
      <c r="O96" t="s">
        <v>64</v>
      </c>
    </row>
    <row r="97" spans="1:15" x14ac:dyDescent="0.4">
      <c r="A97" t="s">
        <v>35</v>
      </c>
      <c r="B97" t="s">
        <v>102</v>
      </c>
      <c r="C97">
        <v>618.29999999999995</v>
      </c>
      <c r="D97">
        <v>552.71</v>
      </c>
      <c r="E97">
        <v>638.36</v>
      </c>
      <c r="F97">
        <v>347.37</v>
      </c>
      <c r="G97">
        <v>648.03</v>
      </c>
      <c r="H97">
        <v>582.23</v>
      </c>
      <c r="I97">
        <v>513.13</v>
      </c>
      <c r="J97">
        <v>648.6</v>
      </c>
      <c r="K97">
        <v>622.88</v>
      </c>
      <c r="L97">
        <v>522.52</v>
      </c>
      <c r="M97">
        <v>517.48</v>
      </c>
      <c r="N97">
        <v>673.93</v>
      </c>
      <c r="O97">
        <v>6885.54</v>
      </c>
    </row>
    <row r="98" spans="1:15" x14ac:dyDescent="0.4">
      <c r="A98" t="s">
        <v>35</v>
      </c>
      <c r="B98" t="s">
        <v>103</v>
      </c>
      <c r="C98">
        <v>579.94000000000005</v>
      </c>
      <c r="D98">
        <v>830.21</v>
      </c>
      <c r="E98">
        <v>962.24</v>
      </c>
      <c r="F98">
        <v>1640.88</v>
      </c>
      <c r="G98">
        <v>866.55</v>
      </c>
      <c r="H98">
        <v>1067.5</v>
      </c>
      <c r="I98">
        <v>512.09</v>
      </c>
      <c r="J98">
        <v>196.11</v>
      </c>
      <c r="K98">
        <v>-858.19</v>
      </c>
      <c r="L98">
        <v>422.7</v>
      </c>
      <c r="M98">
        <v>261.8</v>
      </c>
      <c r="N98">
        <v>241.75</v>
      </c>
      <c r="O98">
        <v>6723.58</v>
      </c>
    </row>
    <row r="99" spans="1:15" x14ac:dyDescent="0.4">
      <c r="A99" t="s">
        <v>37</v>
      </c>
      <c r="B99" t="s">
        <v>38</v>
      </c>
      <c r="C99" t="s">
        <v>64</v>
      </c>
      <c r="D99" t="s">
        <v>64</v>
      </c>
      <c r="E99" t="s">
        <v>64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64</v>
      </c>
      <c r="O99" t="s">
        <v>64</v>
      </c>
    </row>
    <row r="100" spans="1:15" x14ac:dyDescent="0.4">
      <c r="A100" t="s">
        <v>37</v>
      </c>
      <c r="B100" t="s">
        <v>107</v>
      </c>
      <c r="C100">
        <v>100.28</v>
      </c>
      <c r="D100">
        <v>73.87</v>
      </c>
      <c r="E100">
        <v>73.63</v>
      </c>
      <c r="F100">
        <v>59.92</v>
      </c>
      <c r="G100">
        <v>60.28</v>
      </c>
      <c r="H100">
        <v>480.09</v>
      </c>
      <c r="I100">
        <v>60.34</v>
      </c>
      <c r="J100">
        <v>60.34</v>
      </c>
      <c r="K100">
        <v>60.33</v>
      </c>
      <c r="L100">
        <v>60.33</v>
      </c>
      <c r="M100">
        <v>60.33</v>
      </c>
      <c r="N100">
        <v>280.79000000000002</v>
      </c>
      <c r="O100">
        <v>1430.53</v>
      </c>
    </row>
    <row r="101" spans="1:15" x14ac:dyDescent="0.4">
      <c r="A101" t="s">
        <v>39</v>
      </c>
      <c r="B101" t="s">
        <v>40</v>
      </c>
      <c r="C101" t="s">
        <v>64</v>
      </c>
      <c r="D101" t="s">
        <v>64</v>
      </c>
      <c r="E101" t="s">
        <v>64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64</v>
      </c>
      <c r="O101" t="s">
        <v>64</v>
      </c>
    </row>
    <row r="102" spans="1:15" x14ac:dyDescent="0.4">
      <c r="A102" t="s">
        <v>39</v>
      </c>
      <c r="B102" t="s">
        <v>110</v>
      </c>
      <c r="C102">
        <v>2995.38</v>
      </c>
      <c r="D102">
        <v>2826.21</v>
      </c>
      <c r="E102">
        <v>2403.2199999999998</v>
      </c>
      <c r="F102">
        <v>3412.64</v>
      </c>
      <c r="G102">
        <v>3684.59</v>
      </c>
      <c r="H102">
        <v>4107</v>
      </c>
      <c r="I102">
        <v>4022.19</v>
      </c>
      <c r="J102">
        <v>4275.63</v>
      </c>
      <c r="K102">
        <v>4190.84</v>
      </c>
      <c r="L102">
        <v>4152.2299999999996</v>
      </c>
      <c r="M102">
        <v>4019.53</v>
      </c>
      <c r="N102">
        <v>4028.37</v>
      </c>
      <c r="O102">
        <v>44117.83</v>
      </c>
    </row>
    <row r="103" spans="1:15" x14ac:dyDescent="0.4">
      <c r="A103" t="s">
        <v>41</v>
      </c>
      <c r="B103" t="s">
        <v>42</v>
      </c>
      <c r="C103" t="s">
        <v>64</v>
      </c>
      <c r="D103" t="s">
        <v>64</v>
      </c>
      <c r="E103" t="s">
        <v>64</v>
      </c>
      <c r="F103" t="s">
        <v>64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64</v>
      </c>
      <c r="O103" t="s">
        <v>64</v>
      </c>
    </row>
    <row r="104" spans="1:15" x14ac:dyDescent="0.4">
      <c r="A104" t="s">
        <v>41</v>
      </c>
      <c r="B104" t="s">
        <v>207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3346.78</v>
      </c>
      <c r="K104">
        <v>3346.78</v>
      </c>
      <c r="L104">
        <v>3346.78</v>
      </c>
      <c r="M104">
        <v>3346.78</v>
      </c>
      <c r="N104">
        <v>3346.78</v>
      </c>
      <c r="O104">
        <v>16733.900000000001</v>
      </c>
    </row>
    <row r="105" spans="1:15" x14ac:dyDescent="0.4">
      <c r="A105" t="s">
        <v>43</v>
      </c>
      <c r="B105" t="s">
        <v>44</v>
      </c>
      <c r="C105" t="s">
        <v>64</v>
      </c>
      <c r="D105" t="s">
        <v>64</v>
      </c>
      <c r="E105" t="s">
        <v>64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64</v>
      </c>
      <c r="O105" t="s">
        <v>64</v>
      </c>
    </row>
    <row r="106" spans="1:15" x14ac:dyDescent="0.4">
      <c r="A106" t="s">
        <v>43</v>
      </c>
      <c r="B106" t="s">
        <v>113</v>
      </c>
      <c r="C106">
        <v>7867.13</v>
      </c>
      <c r="D106">
        <v>7867.13</v>
      </c>
      <c r="E106">
        <v>7867.13</v>
      </c>
      <c r="F106">
        <v>7867.13</v>
      </c>
      <c r="G106">
        <v>7867.13</v>
      </c>
      <c r="H106">
        <v>7867.13</v>
      </c>
      <c r="I106">
        <v>21857.1</v>
      </c>
      <c r="J106">
        <v>9033</v>
      </c>
      <c r="K106">
        <v>9033</v>
      </c>
      <c r="L106">
        <v>9033</v>
      </c>
      <c r="M106">
        <v>9033</v>
      </c>
      <c r="N106">
        <v>9033</v>
      </c>
      <c r="O106">
        <v>114224.88</v>
      </c>
    </row>
    <row r="107" spans="1:15" x14ac:dyDescent="0.4">
      <c r="A107" t="s">
        <v>45</v>
      </c>
      <c r="B107" t="s">
        <v>46</v>
      </c>
      <c r="C107">
        <v>28395.29</v>
      </c>
      <c r="D107">
        <v>40113.74</v>
      </c>
      <c r="E107">
        <v>33884.980000000003</v>
      </c>
      <c r="F107">
        <v>44985.02</v>
      </c>
      <c r="G107">
        <v>45515.57</v>
      </c>
      <c r="H107">
        <v>42881.02</v>
      </c>
      <c r="I107">
        <v>47566.48</v>
      </c>
      <c r="J107">
        <v>36949.24</v>
      </c>
      <c r="K107">
        <v>36669.870000000003</v>
      </c>
      <c r="L107">
        <v>44844.480000000003</v>
      </c>
      <c r="M107">
        <v>42761.07</v>
      </c>
      <c r="N107">
        <v>38450.379999999997</v>
      </c>
      <c r="O107">
        <v>483017.14</v>
      </c>
    </row>
    <row r="108" spans="1:15" x14ac:dyDescent="0.4">
      <c r="A108" t="s">
        <v>64</v>
      </c>
      <c r="B108" t="s">
        <v>64</v>
      </c>
      <c r="C108" t="s">
        <v>64</v>
      </c>
      <c r="D108" t="s">
        <v>64</v>
      </c>
      <c r="E108" t="s">
        <v>64</v>
      </c>
      <c r="F108" t="s">
        <v>64</v>
      </c>
      <c r="G108" t="s">
        <v>64</v>
      </c>
      <c r="H108" t="s">
        <v>64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64</v>
      </c>
      <c r="O108" t="s">
        <v>64</v>
      </c>
    </row>
    <row r="109" spans="1:15" x14ac:dyDescent="0.4">
      <c r="A109" t="s">
        <v>47</v>
      </c>
      <c r="B109" t="s">
        <v>48</v>
      </c>
      <c r="C109">
        <v>46489.18</v>
      </c>
      <c r="D109">
        <v>30541.51</v>
      </c>
      <c r="E109">
        <v>26195.63</v>
      </c>
      <c r="F109">
        <v>40330.92</v>
      </c>
      <c r="G109">
        <v>46599.27</v>
      </c>
      <c r="H109">
        <v>59794</v>
      </c>
      <c r="I109">
        <v>53488.29</v>
      </c>
      <c r="J109">
        <v>69941.48</v>
      </c>
      <c r="K109">
        <v>68101.22</v>
      </c>
      <c r="L109">
        <v>58961.29</v>
      </c>
      <c r="M109">
        <v>60727.03</v>
      </c>
      <c r="N109">
        <v>64258.86</v>
      </c>
      <c r="O109">
        <v>625428.68000000005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3251-C842-4692-BD12-793F1E2D34C8}">
  <dimension ref="A1:O2"/>
  <sheetViews>
    <sheetView workbookViewId="0">
      <selection activeCell="I25" sqref="I25"/>
    </sheetView>
  </sheetViews>
  <sheetFormatPr defaultRowHeight="12.3" x14ac:dyDescent="0.4"/>
  <cols>
    <col min="1" max="1" width="7.27734375" bestFit="1" customWidth="1"/>
    <col min="2" max="2" width="10.6640625" bestFit="1" customWidth="1"/>
    <col min="3" max="11" width="7.77734375" bestFit="1" customWidth="1"/>
    <col min="12" max="14" width="8.77734375" bestFit="1" customWidth="1"/>
    <col min="15" max="15" width="6.88671875" bestFit="1" customWidth="1"/>
  </cols>
  <sheetData>
    <row r="1" spans="1:15" x14ac:dyDescent="0.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 x14ac:dyDescent="0.4">
      <c r="A2" t="s">
        <v>64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64</v>
      </c>
      <c r="O2" t="s">
        <v>64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E538-EC7B-4A4B-A0C6-E3060D876BC2}">
  <dimension ref="A1:O1"/>
  <sheetViews>
    <sheetView workbookViewId="0">
      <selection activeCell="I25" sqref="I25"/>
    </sheetView>
  </sheetViews>
  <sheetFormatPr defaultRowHeight="12.3" x14ac:dyDescent="0.4"/>
  <cols>
    <col min="2" max="2" width="10.27734375" customWidth="1"/>
  </cols>
  <sheetData>
    <row r="1" spans="1:15" x14ac:dyDescent="0.4">
      <c r="A1" s="18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19" t="s">
        <v>62</v>
      </c>
      <c r="O1" s="20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372F32-BCB9-4A65-B94A-78B5C9ECBD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Trailing Financials</vt:lpstr>
      <vt:lpstr>RawData</vt:lpstr>
      <vt:lpstr>masterkeytable</vt:lpstr>
      <vt:lpstr>Masterkey</vt:lpstr>
      <vt:lpstr>Final T-12</vt:lpstr>
      <vt:lpstr>codes</vt:lpstr>
      <vt:lpstr>Trailing 12 Month Statement</vt:lpstr>
      <vt:lpstr>nullvalues</vt:lpstr>
      <vt:lpstr>Sheet3</vt:lpstr>
      <vt:lpstr>masterkeytable</vt:lpstr>
      <vt:lpstr>rediq_dealname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WorkPC</dc:creator>
  <cp:keywords/>
  <dc:description/>
  <cp:lastModifiedBy>Dmytro Gladchenko</cp:lastModifiedBy>
  <cp:lastPrinted>2021-05-13T15:20:58Z</cp:lastPrinted>
  <dcterms:created xsi:type="dcterms:W3CDTF">2021-05-13T15:21:24Z</dcterms:created>
  <dcterms:modified xsi:type="dcterms:W3CDTF">2026-06-23T22:53:35Z</dcterms:modified>
  <cp:category/>
  <cp:contentStatus/>
</cp:coreProperties>
</file>