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mytr\Downloads\tmg-plugins-updates\multifamily-brokerage\skills\loan-terms-lookup\"/>
    </mc:Choice>
  </mc:AlternateContent>
  <xr:revisionPtr revIDLastSave="0" documentId="8_{CB9C180F-9FE2-4439-B3DC-70CC0499ED56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Loan Assumptions" sheetId="1" r:id="rId1"/>
    <sheet name="Loan Terms" sheetId="2" r:id="rId2"/>
    <sheet name="Treasury Yields" sheetId="3" r:id="rId3"/>
    <sheet name="Instructions" sheetId="4" r:id="rId4"/>
  </sheets>
  <definedNames>
    <definedName name="LenderList">'Loan Terms'!$A$4:$A$16</definedName>
    <definedName name="LoanTermsTable">'Loan Terms'!$A$4:$M$16</definedName>
    <definedName name="SOFR_30D">'Treasury Yields'!$G$8</definedName>
    <definedName name="UST_10Y">'Treasury Yields'!$G$6</definedName>
    <definedName name="UST_30Y">'Treasury Yields'!$G$7</definedName>
    <definedName name="UST_5Y">'Treasury Yields'!$G$4</definedName>
    <definedName name="UST_7Y">'Treasury Yields'!$G$5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3" l="1"/>
  <c r="D8" i="3"/>
  <c r="E8" i="3" s="1"/>
  <c r="G8" i="3" s="1"/>
  <c r="C8" i="3"/>
  <c r="D7" i="3"/>
  <c r="E7" i="3" s="1"/>
  <c r="G7" i="3" s="1"/>
  <c r="C7" i="3"/>
  <c r="D6" i="3"/>
  <c r="E6" i="3" s="1"/>
  <c r="G6" i="3" s="1"/>
  <c r="C6" i="3"/>
  <c r="D5" i="3"/>
  <c r="E5" i="3" s="1"/>
  <c r="G5" i="3" s="1"/>
  <c r="C5" i="3"/>
  <c r="D4" i="3"/>
  <c r="E4" i="3" s="1"/>
  <c r="G4" i="3" s="1"/>
  <c r="C4" i="3"/>
  <c r="C16" i="2"/>
  <c r="E16" i="2" s="1"/>
  <c r="C21" i="1"/>
  <c r="C20" i="1"/>
  <c r="C19" i="1"/>
  <c r="C18" i="1"/>
  <c r="C16" i="1"/>
  <c r="C12" i="1"/>
  <c r="C11" i="1"/>
  <c r="C10" i="1"/>
  <c r="C9" i="1"/>
  <c r="C7" i="1"/>
  <c r="C15" i="2" l="1"/>
  <c r="E15" i="2" s="1"/>
  <c r="C14" i="2"/>
  <c r="E14" i="2" s="1"/>
  <c r="C4" i="2"/>
  <c r="C10" i="2"/>
  <c r="E10" i="2" s="1"/>
  <c r="C7" i="2"/>
  <c r="E7" i="2" s="1"/>
  <c r="C9" i="2"/>
  <c r="E9" i="2" s="1"/>
  <c r="C11" i="2"/>
  <c r="E11" i="2" s="1"/>
  <c r="C6" i="2"/>
  <c r="E6" i="2" s="1"/>
  <c r="C8" i="2"/>
  <c r="E8" i="2" s="1"/>
  <c r="C5" i="2"/>
  <c r="E5" i="2" s="1"/>
  <c r="C13" i="2"/>
  <c r="E13" i="2" s="1"/>
  <c r="C12" i="2"/>
  <c r="E12" i="2" s="1"/>
  <c r="C17" i="1" l="1"/>
  <c r="E4" i="2"/>
  <c r="C8" i="1" s="1"/>
</calcChain>
</file>

<file path=xl/sharedStrings.xml><?xml version="1.0" encoding="utf-8"?>
<sst xmlns="http://schemas.openxmlformats.org/spreadsheetml/2006/main" count="149" uniqueCount="100">
  <si>
    <t>LOAN ASSUMPTIONS — NEW DEBT (FREE &amp; CLEAR)</t>
  </si>
  <si>
    <t>Select a loan program from the dropdown (yellow cell). All terms populate automatically.</t>
  </si>
  <si>
    <t>Loan Program</t>
  </si>
  <si>
    <t>Fannie Mae — Conventional</t>
  </si>
  <si>
    <t>LTV</t>
  </si>
  <si>
    <t>Interest Rate</t>
  </si>
  <si>
    <t>DSCR Requirement (reference)</t>
  </si>
  <si>
    <t>Interest Only (Years)</t>
  </si>
  <si>
    <t>Loan Term (Months)</t>
  </si>
  <si>
    <t>Amortization (Months)</t>
  </si>
  <si>
    <t>Pricing Detail</t>
  </si>
  <si>
    <t>Index</t>
  </si>
  <si>
    <t>Index Rate (live)</t>
  </si>
  <si>
    <t>Spread (bps)</t>
  </si>
  <si>
    <t>Rate Type</t>
  </si>
  <si>
    <t>Recourse</t>
  </si>
  <si>
    <t>Notes</t>
  </si>
  <si>
    <t>Estimates only — not a quote. Verify spreads with lenders before underwriting.</t>
  </si>
  <si>
    <t>ESTIMATED LOAN TERMS — MULTIFAMILY DEBT (LOOKUP TABLE)</t>
  </si>
  <si>
    <t>Blue cells = editable placeholder assumptions (spreads &amp; terms — update to current market quotes). Interest Rate = Index Rate (live) + Spread. Amortization of 0 = full-term Interest Only.</t>
  </si>
  <si>
    <t>Index Rate</t>
  </si>
  <si>
    <t>Max LTV</t>
  </si>
  <si>
    <t>Min DSCR</t>
  </si>
  <si>
    <t>Interest Only (Yrs)</t>
  </si>
  <si>
    <t>UST 10 Yr</t>
  </si>
  <si>
    <t>Fixed</t>
  </si>
  <si>
    <t>Non-Recourse</t>
  </si>
  <si>
    <t>DUS program; 80% max LTV in some markets; tiered pricing (Tier 2 shown). Green/affordable discounts available.</t>
  </si>
  <si>
    <t>Freddie Mac — Conventional</t>
  </si>
  <si>
    <t>Optigo conventional; index-lock &amp; early rate-lock available; pricing varies by market/leverage tier.</t>
  </si>
  <si>
    <t>Fannie Mae — Small Balance</t>
  </si>
  <si>
    <t>Small Loan program (typically ≤$9MM); streamlined docs; step-down prepay available.</t>
  </si>
  <si>
    <t>Freddie Mac — SBL</t>
  </si>
  <si>
    <t>SBL $1–$7.5MM; hybrid ARM options; LTV/DSCR vary by market tier (Top/Standard/Small/Very Small).</t>
  </si>
  <si>
    <t>HUD/FHA — 223(f)</t>
  </si>
  <si>
    <t>35-yr fully amortizing; add ~0.60% annual MIP (0.25% green) on top of note rate; 3–5 mo processing.</t>
  </si>
  <si>
    <t>HUD/FHA — 221(d)(4)</t>
  </si>
  <si>
    <t>New construction/sub rehab; 40-yr am after ~3-yr IO construction period; add ~0.65% MIP; long processing.</t>
  </si>
  <si>
    <t>Life Company (LifeCo)</t>
  </si>
  <si>
    <t>Best pricing at ≤65% LTV on stabilized Class A/B; forward commitments available; yield maintenance.</t>
  </si>
  <si>
    <t>CMBS / Conduit</t>
  </si>
  <si>
    <t>Full-term IO common at ≤65% LTV; defeasance prepay; cash management triggers.</t>
  </si>
  <si>
    <t>Bank — Balance Sheet</t>
  </si>
  <si>
    <t>UST 5 Yr</t>
  </si>
  <si>
    <t>5-yr fixed / 25-yr am typical; recourse often burns off at DSCR test; deposits may improve pricing.</t>
  </si>
  <si>
    <t>Credit Union</t>
  </si>
  <si>
    <t>Recourse (varies)</t>
  </si>
  <si>
    <t>Often no prepayment penalty; membership required; slower execution on larger deals.</t>
  </si>
  <si>
    <t>Bridge — Debt Fund</t>
  </si>
  <si>
    <t>30-Day Avg SOFR</t>
  </si>
  <si>
    <t>Floating</t>
  </si>
  <si>
    <t>Non-Recourse (carve-outs)</t>
  </si>
  <si>
    <t>Typically SOFR + 275–400 floating, full-term IO; 70–80% LTC; 1+1 extensions; rate cap required.</t>
  </si>
  <si>
    <t>Bridge — Bank</t>
  </si>
  <si>
    <t>Recourse (partial)</t>
  </si>
  <si>
    <t>Cheaper than debt-fund bridge but lower leverage and partial recourse; renovation/lease-up deals.</t>
  </si>
  <si>
    <t>Mezzanine / Pref Equity</t>
  </si>
  <si>
    <t>Fixed (no index)</t>
  </si>
  <si>
    <t>Placeholder 12.5% current pay+accrual; sized to ~85% combined LTV / 1.05x combined DSCR behind senior.</t>
  </si>
  <si>
    <t>All spreads and terms are PLACEHOLDER market estimates as of Aug 2026 — edit the blue cells to match live lender quotes. Agency/HUD/LifeCo/CMBS price over the 10-Yr UST; banks &amp; credit unions over the 5-Yr UST; bridge over 30-Day Avg SOFR. Actual pricing varies with leverage, market, sponsorship, and deal size. Estimates only — not a loan quote or commitment.</t>
  </si>
  <si>
    <t>LIVE INDEX RATES — U.S. TREASURY &amp; SOFR</t>
  </si>
  <si>
    <t>Live pull via =WEBSERVICE() from FRED (St. Louis Fed). Requires Excel for Windows + internet. If the pull fails, the yellow Manual Override column is used automatically. Press Ctrl+Alt+F9 to refresh.</t>
  </si>
  <si>
    <t>FRED Series</t>
  </si>
  <si>
    <t>Request URL (auto-built)</t>
  </si>
  <si>
    <t>Raw CSV Response</t>
  </si>
  <si>
    <t>Parsed Live Rate</t>
  </si>
  <si>
    <t>Manual Override</t>
  </si>
  <si>
    <t>RATE USED</t>
  </si>
  <si>
    <t>Override As-Of</t>
  </si>
  <si>
    <t>DGS5</t>
  </si>
  <si>
    <t>08/05/2026</t>
  </si>
  <si>
    <t>UST 7 Yr</t>
  </si>
  <si>
    <t>DGS7</t>
  </si>
  <si>
    <t>DGS10</t>
  </si>
  <si>
    <t>UST 30 Yr</t>
  </si>
  <si>
    <t>DGS30</t>
  </si>
  <si>
    <t>SOFR30DAYAVG</t>
  </si>
  <si>
    <t>08/04/2026</t>
  </si>
  <si>
    <t>—</t>
  </si>
  <si>
    <t>n/a</t>
  </si>
  <si>
    <t>Sources: FRED series DGS5 / DGS7 / DGS10 / DGS30 / SOFR30DAYAVG (https://fred.stlouisfed.org). Override values: U.S. Treasury Daily Par Yield Curve, 08/05/2026 (home.treasury.gov) and NY Fed 30-Day Average SOFR, 08/04/2026. FRED posts treasury yields with a 1-business-day lag.</t>
  </si>
  <si>
    <t>HOW THIS WORKBOOK WORKS</t>
  </si>
  <si>
    <t>Live rates</t>
  </si>
  <si>
    <t>The Treasury Yields tab pulls the 5/7/10/30-Yr UST and 30-Day Avg SOFR from FRED using =WEBSERVICE(). This works in Excel for Windows (Microsoft 365 / Excel 2013+) with an internet connection. Press Ctrl+Alt+F9 to force a refresh. WEBSERVICE is NOT supported in Excel for Mac, Excel Online, or Google Sheets — there, the workbook automatically falls back to the yellow Manual Override cells.</t>
  </si>
  <si>
    <t>Fallback logic</t>
  </si>
  <si>
    <t>RATE USED = the live parsed rate when the web pull succeeds and returns a number; otherwise the Manual Override. FRED posts treasury yields with a ~1-business-day lag; on the rare day the latest FRED row is blank (holiday), the override is used — just update the yellow cells from home.treasury.gov.</t>
  </si>
  <si>
    <t>Interest rate build-up</t>
  </si>
  <si>
    <t>On the Loan Terms tab: Interest Rate = Index Rate + Spread (bps) / 10,000. Spreads are placeholders — edit the blue cells to match current lender quotes.</t>
  </si>
  <si>
    <t>Dropdown lookup</t>
  </si>
  <si>
    <t>On the Loan Assumptions tab, pick a program in the yellow dropdown (cell C5); LTV, rate, DSCR, IO, term, and amortization populate via INDEX/MATCH. To use the dropdown in your own model, point a data validation list at the named range LenderList and INDEX/MATCH against the Loan Terms tab.</t>
  </si>
  <si>
    <t>Named ranges</t>
  </si>
  <si>
    <t>LenderList (program names), LoanTermsTable (full matrix), UST_5Y, UST_7Y, UST_10Y, UST_30Y, SOFR_30D (RATE USED cells) — all available for formulas in other workbooks or added tabs.</t>
  </si>
  <si>
    <t>Adding a lender</t>
  </si>
  <si>
    <t>Insert a row inside the Loan Terms table (above the last program row), fill in the blue cells, copy the Index Rate and Interest Rate formulas down, then extend the LenderList / LoanTermsTable named ranges (Formulas &gt; Name Manager) if you inserted at the very bottom.</t>
  </si>
  <si>
    <t>Color key</t>
  </si>
  <si>
    <t>Blue font = editable input / placeholder assumption.  Black = formula.  Green = pulls from another tab.  Yellow fill = key user inputs (dropdown, rate overrides).</t>
  </si>
  <si>
    <t>Example</t>
  </si>
  <si>
    <t>Fannie Mae — Conventional at a 4.63% 10-Yr UST + 155 bps = 6.18% rate, 75% LTV, 1.25x DSCR, 3 yrs IO, 120-month term, 360-month amortization.</t>
  </si>
  <si>
    <t>Disclaimer</t>
  </si>
  <si>
    <t>All terms are indicative placeholders for screening/underwriting, not loan quotes or commitments. Confirm pricing and structure with lenders.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</si>
</sst>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1F3352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352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4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0" borderId="0" xfId="0" applyFont="1"/>
    <xf numFmtId="0" fontId="3" fillId="4" borderId="1" xfId="0" applyFont="1" applyFill="1" applyBorder="1"/>
    <xf numFmtId="9" fontId="5" fillId="0" borderId="1" xfId="0" applyNumberFormat="1" applyFont="1" applyBorder="1" applyAlignment="1">
      <alignment horizontal="right"/>
    </xf>
    <xf numFmtId="0" fontId="0" fillId="0" borderId="1" xfId="0" applyBorder="1"/>
    <xf numFmtId="10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6" fillId="0" borderId="0" xfId="0" applyFont="1"/>
    <xf numFmtId="0" fontId="7" fillId="4" borderId="1" xfId="0" applyFont="1" applyFill="1" applyBorder="1"/>
    <xf numFmtId="0" fontId="5" fillId="0" borderId="1" xfId="0" applyFont="1" applyBorder="1" applyAlignment="1">
      <alignment horizontal="right" wrapText="1"/>
    </xf>
    <xf numFmtId="10" fontId="5" fillId="0" borderId="1" xfId="0" applyNumberFormat="1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0" fontId="5" fillId="0" borderId="1" xfId="0" applyNumberFormat="1" applyFont="1" applyBorder="1"/>
    <xf numFmtId="3" fontId="4" fillId="0" borderId="1" xfId="0" applyNumberFormat="1" applyFont="1" applyBorder="1"/>
    <xf numFmtId="10" fontId="3" fillId="0" borderId="1" xfId="0" applyNumberFormat="1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/>
    <xf numFmtId="10" fontId="5" fillId="4" borderId="1" xfId="0" applyNumberFormat="1" applyFont="1" applyFill="1" applyBorder="1"/>
    <xf numFmtId="3" fontId="4" fillId="4" borderId="1" xfId="0" applyNumberFormat="1" applyFont="1" applyFill="1" applyBorder="1"/>
    <xf numFmtId="10" fontId="3" fillId="4" borderId="1" xfId="0" applyNumberFormat="1" applyFont="1" applyFill="1" applyBorder="1"/>
    <xf numFmtId="9" fontId="4" fillId="4" borderId="1" xfId="0" applyNumberFormat="1" applyFont="1" applyFill="1" applyBorder="1"/>
    <xf numFmtId="164" fontId="4" fillId="4" borderId="1" xfId="0" applyNumberFormat="1" applyFont="1" applyFill="1" applyBorder="1"/>
    <xf numFmtId="0" fontId="2" fillId="4" borderId="1" xfId="0" applyFont="1" applyFill="1" applyBorder="1" applyAlignment="1">
      <alignment vertical="top" wrapText="1"/>
    </xf>
    <xf numFmtId="0" fontId="7" fillId="0" borderId="1" xfId="0" applyFont="1" applyBorder="1"/>
    <xf numFmtId="10" fontId="7" fillId="0" borderId="1" xfId="0" applyNumberFormat="1" applyFont="1" applyBorder="1"/>
    <xf numFmtId="10" fontId="4" fillId="3" borderId="1" xfId="0" applyNumberFormat="1" applyFont="1" applyFill="1" applyBorder="1"/>
    <xf numFmtId="0" fontId="2" fillId="0" borderId="1" xfId="0" applyFont="1" applyBorder="1"/>
    <xf numFmtId="10" fontId="7" fillId="4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3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tabSelected="1" zoomScaleNormal="100" workbookViewId="0"/>
  </sheetViews>
  <sheetFormatPr defaultColWidth="8.6640625" defaultRowHeight="14.25" x14ac:dyDescent="0.45"/>
  <cols>
    <col min="1" max="1" width="2" customWidth="1"/>
    <col min="2" max="2" width="28" customWidth="1"/>
    <col min="3" max="4" width="24" customWidth="1"/>
  </cols>
  <sheetData>
    <row r="2" spans="2:4" ht="24" customHeight="1" x14ac:dyDescent="0.45">
      <c r="B2" s="6" t="s">
        <v>0</v>
      </c>
      <c r="C2" s="6"/>
      <c r="D2" s="6"/>
    </row>
    <row r="3" spans="2:4" x14ac:dyDescent="0.45">
      <c r="B3" s="5" t="s">
        <v>1</v>
      </c>
      <c r="C3" s="5"/>
      <c r="D3" s="5"/>
    </row>
    <row r="5" spans="2:4" x14ac:dyDescent="0.45">
      <c r="B5" s="7" t="s">
        <v>2</v>
      </c>
      <c r="C5" s="4" t="s">
        <v>3</v>
      </c>
      <c r="D5" s="4"/>
    </row>
    <row r="7" spans="2:4" x14ac:dyDescent="0.45">
      <c r="B7" s="8" t="s">
        <v>4</v>
      </c>
      <c r="C7" s="9">
        <f>INDEX('Loan Terms'!$F$4:$F$16,MATCH($C$5,'Loan Terms'!$A$4:$A$16,0))</f>
        <v>0.75</v>
      </c>
      <c r="D7" s="10"/>
    </row>
    <row r="8" spans="2:4" x14ac:dyDescent="0.45">
      <c r="B8" s="8" t="s">
        <v>5</v>
      </c>
      <c r="C8" s="11">
        <f ca="1">INDEX('Loan Terms'!$E$4:$E$16,MATCH($C$5,'Loan Terms'!$A$4:$A$16,0))</f>
        <v>6.1800000000000001E-2</v>
      </c>
      <c r="D8" s="10"/>
    </row>
    <row r="9" spans="2:4" x14ac:dyDescent="0.45">
      <c r="B9" s="8" t="s">
        <v>6</v>
      </c>
      <c r="C9" s="12">
        <f>INDEX('Loan Terms'!$G$4:$G$16,MATCH($C$5,'Loan Terms'!$A$4:$A$16,0))</f>
        <v>1.25</v>
      </c>
      <c r="D9" s="10"/>
    </row>
    <row r="10" spans="2:4" x14ac:dyDescent="0.45">
      <c r="B10" s="8" t="s">
        <v>7</v>
      </c>
      <c r="C10" s="13">
        <f>INDEX('Loan Terms'!$H$4:$H$16,MATCH($C$5,'Loan Terms'!$A$4:$A$16,0))</f>
        <v>3</v>
      </c>
      <c r="D10" s="10"/>
    </row>
    <row r="11" spans="2:4" x14ac:dyDescent="0.45">
      <c r="B11" s="8" t="s">
        <v>8</v>
      </c>
      <c r="C11" s="13">
        <f>INDEX('Loan Terms'!$I$4:$I$16,MATCH($C$5,'Loan Terms'!$A$4:$A$16,0))</f>
        <v>120</v>
      </c>
      <c r="D11" s="10"/>
    </row>
    <row r="12" spans="2:4" x14ac:dyDescent="0.45">
      <c r="B12" s="8" t="s">
        <v>9</v>
      </c>
      <c r="C12" s="13">
        <f>IF(INDEX('Loan Terms'!$J$4:$J$16,MATCH($C$5,'Loan Terms'!$A$4:$A$16,0))=0,"Interest Only",INDEX('Loan Terms'!$J$4:$J$16,MATCH($C$5,'Loan Terms'!$A$4:$A$16,0)))</f>
        <v>360</v>
      </c>
      <c r="D12" s="10"/>
    </row>
    <row r="15" spans="2:4" x14ac:dyDescent="0.45">
      <c r="B15" s="14" t="s">
        <v>10</v>
      </c>
    </row>
    <row r="16" spans="2:4" x14ac:dyDescent="0.45">
      <c r="B16" s="15" t="s">
        <v>11</v>
      </c>
      <c r="C16" s="16" t="str">
        <f>INDEX('Loan Terms'!$B$4:$B$16,MATCH($C$5,'Loan Terms'!$A$4:$A$16,0))</f>
        <v>UST 10 Yr</v>
      </c>
      <c r="D16" s="10"/>
    </row>
    <row r="17" spans="2:4" x14ac:dyDescent="0.45">
      <c r="B17" s="15" t="s">
        <v>12</v>
      </c>
      <c r="C17" s="17">
        <f ca="1">INDEX('Loan Terms'!$C$4:$C$16,MATCH($C$5,'Loan Terms'!$A$4:$A$16,0))</f>
        <v>4.6300000000000001E-2</v>
      </c>
      <c r="D17" s="10"/>
    </row>
    <row r="18" spans="2:4" x14ac:dyDescent="0.45">
      <c r="B18" s="15" t="s">
        <v>13</v>
      </c>
      <c r="C18" s="18">
        <f>INDEX('Loan Terms'!$D$4:$D$16,MATCH($C$5,'Loan Terms'!$A$4:$A$16,0))</f>
        <v>155</v>
      </c>
      <c r="D18" s="10"/>
    </row>
    <row r="19" spans="2:4" x14ac:dyDescent="0.45">
      <c r="B19" s="15" t="s">
        <v>14</v>
      </c>
      <c r="C19" s="16" t="str">
        <f>INDEX('Loan Terms'!$K$4:$K$16,MATCH($C$5,'Loan Terms'!$A$4:$A$16,0))</f>
        <v>Fixed</v>
      </c>
      <c r="D19" s="10"/>
    </row>
    <row r="20" spans="2:4" x14ac:dyDescent="0.45">
      <c r="B20" s="15" t="s">
        <v>15</v>
      </c>
      <c r="C20" s="16" t="str">
        <f>INDEX('Loan Terms'!$L$4:$L$16,MATCH($C$5,'Loan Terms'!$A$4:$A$16,0))</f>
        <v>Non-Recourse</v>
      </c>
      <c r="D20" s="10"/>
    </row>
    <row r="21" spans="2:4" ht="43.5" customHeight="1" x14ac:dyDescent="0.45">
      <c r="B21" s="15" t="s">
        <v>16</v>
      </c>
      <c r="C21" s="3" t="str">
        <f>INDEX('Loan Terms'!$M$4:$M$16,MATCH($C$5,'Loan Terms'!$A$4:$A$16,0))</f>
        <v>DUS program; 80% max LTV in some markets; tiered pricing (Tier 2 shown). Green/affordable discounts available.</v>
      </c>
      <c r="D21" s="3"/>
    </row>
    <row r="23" spans="2:4" x14ac:dyDescent="0.45">
      <c r="B23" s="5" t="s">
        <v>17</v>
      </c>
      <c r="C23" s="5"/>
      <c r="D23" s="5"/>
    </row>
  </sheetData>
  <mergeCells count="5">
    <mergeCell ref="B2:D2"/>
    <mergeCell ref="B3:D3"/>
    <mergeCell ref="C5:D5"/>
    <mergeCell ref="C21:D21"/>
    <mergeCell ref="B23:D23"/>
  </mergeCells>
  <dataValidations count="1">
    <dataValidation type="list" errorTitle="Invalid selection" error="Choose a loan program from the list." sqref="C5" xr:uid="{00000000-0002-0000-0000-000000000000}">
      <formula1>LenderList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25" x14ac:dyDescent="0.45"/>
  <cols>
    <col min="1" max="1" width="26" customWidth="1"/>
    <col min="2" max="2" width="16" customWidth="1"/>
    <col min="3" max="3" width="10" customWidth="1"/>
    <col min="4" max="4" width="12" customWidth="1"/>
    <col min="5" max="5" width="10" customWidth="1"/>
    <col min="6" max="7" width="9" customWidth="1"/>
    <col min="8" max="9" width="11" customWidth="1"/>
    <col min="10" max="10" width="13" customWidth="1"/>
    <col min="11" max="11" width="10" customWidth="1"/>
    <col min="12" max="12" width="20" customWidth="1"/>
    <col min="13" max="13" width="46" customWidth="1"/>
  </cols>
  <sheetData>
    <row r="1" spans="1:13" ht="21.75" customHeight="1" x14ac:dyDescent="0.45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45">
      <c r="A2" s="5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0" customHeight="1" x14ac:dyDescent="0.45">
      <c r="A3" s="19" t="s">
        <v>2</v>
      </c>
      <c r="B3" s="19" t="s">
        <v>11</v>
      </c>
      <c r="C3" s="19" t="s">
        <v>20</v>
      </c>
      <c r="D3" s="19" t="s">
        <v>13</v>
      </c>
      <c r="E3" s="19" t="s">
        <v>5</v>
      </c>
      <c r="F3" s="19" t="s">
        <v>21</v>
      </c>
      <c r="G3" s="19" t="s">
        <v>22</v>
      </c>
      <c r="H3" s="19" t="s">
        <v>23</v>
      </c>
      <c r="I3" s="19" t="s">
        <v>8</v>
      </c>
      <c r="J3" s="19" t="s">
        <v>9</v>
      </c>
      <c r="K3" s="19" t="s">
        <v>14</v>
      </c>
      <c r="L3" s="19" t="s">
        <v>15</v>
      </c>
      <c r="M3" s="19" t="s">
        <v>16</v>
      </c>
    </row>
    <row r="4" spans="1:13" ht="23.25" x14ac:dyDescent="0.45">
      <c r="A4" s="20" t="s">
        <v>3</v>
      </c>
      <c r="B4" s="21" t="s">
        <v>24</v>
      </c>
      <c r="C4" s="22">
        <f ca="1">INDEX('Treasury Yields'!$G$4:$G$9,MATCH(B4,'Treasury Yields'!$A$4:$A$9,0))</f>
        <v>4.6300000000000001E-2</v>
      </c>
      <c r="D4" s="23">
        <v>155</v>
      </c>
      <c r="E4" s="24">
        <f t="shared" ref="E4:E16" ca="1" si="0">C4+D4/10000</f>
        <v>6.1800000000000001E-2</v>
      </c>
      <c r="F4" s="25">
        <v>0.75</v>
      </c>
      <c r="G4" s="26">
        <v>1.25</v>
      </c>
      <c r="H4" s="23">
        <v>3</v>
      </c>
      <c r="I4" s="23">
        <v>120</v>
      </c>
      <c r="J4" s="23">
        <v>360</v>
      </c>
      <c r="K4" s="21" t="s">
        <v>25</v>
      </c>
      <c r="L4" s="21" t="s">
        <v>26</v>
      </c>
      <c r="M4" s="27" t="s">
        <v>27</v>
      </c>
    </row>
    <row r="5" spans="1:13" ht="23.25" x14ac:dyDescent="0.45">
      <c r="A5" s="8" t="s">
        <v>28</v>
      </c>
      <c r="B5" s="28" t="s">
        <v>24</v>
      </c>
      <c r="C5" s="29">
        <f ca="1">INDEX('Treasury Yields'!$G$4:$G$9,MATCH(B5,'Treasury Yields'!$A$4:$A$9,0))</f>
        <v>4.6300000000000001E-2</v>
      </c>
      <c r="D5" s="30">
        <v>150</v>
      </c>
      <c r="E5" s="31">
        <f t="shared" ca="1" si="0"/>
        <v>6.13E-2</v>
      </c>
      <c r="F5" s="32">
        <v>0.75</v>
      </c>
      <c r="G5" s="33">
        <v>1.25</v>
      </c>
      <c r="H5" s="30">
        <v>3</v>
      </c>
      <c r="I5" s="30">
        <v>120</v>
      </c>
      <c r="J5" s="30">
        <v>360</v>
      </c>
      <c r="K5" s="28" t="s">
        <v>25</v>
      </c>
      <c r="L5" s="28" t="s">
        <v>26</v>
      </c>
      <c r="M5" s="34" t="s">
        <v>29</v>
      </c>
    </row>
    <row r="6" spans="1:13" ht="23.25" x14ac:dyDescent="0.45">
      <c r="A6" s="20" t="s">
        <v>30</v>
      </c>
      <c r="B6" s="21" t="s">
        <v>24</v>
      </c>
      <c r="C6" s="22">
        <f ca="1">INDEX('Treasury Yields'!$G$4:$G$9,MATCH(B6,'Treasury Yields'!$A$4:$A$9,0))</f>
        <v>4.6300000000000001E-2</v>
      </c>
      <c r="D6" s="23">
        <v>205</v>
      </c>
      <c r="E6" s="24">
        <f t="shared" ca="1" si="0"/>
        <v>6.6799999999999998E-2</v>
      </c>
      <c r="F6" s="25">
        <v>0.8</v>
      </c>
      <c r="G6" s="26">
        <v>1.25</v>
      </c>
      <c r="H6" s="23">
        <v>1</v>
      </c>
      <c r="I6" s="23">
        <v>120</v>
      </c>
      <c r="J6" s="23">
        <v>360</v>
      </c>
      <c r="K6" s="21" t="s">
        <v>25</v>
      </c>
      <c r="L6" s="21" t="s">
        <v>26</v>
      </c>
      <c r="M6" s="27" t="s">
        <v>31</v>
      </c>
    </row>
    <row r="7" spans="1:13" ht="23.25" x14ac:dyDescent="0.45">
      <c r="A7" s="8" t="s">
        <v>32</v>
      </c>
      <c r="B7" s="28" t="s">
        <v>24</v>
      </c>
      <c r="C7" s="29">
        <f ca="1">INDEX('Treasury Yields'!$G$4:$G$9,MATCH(B7,'Treasury Yields'!$A$4:$A$9,0))</f>
        <v>4.6300000000000001E-2</v>
      </c>
      <c r="D7" s="30">
        <v>200</v>
      </c>
      <c r="E7" s="31">
        <f t="shared" ca="1" si="0"/>
        <v>6.6299999999999998E-2</v>
      </c>
      <c r="F7" s="32">
        <v>0.8</v>
      </c>
      <c r="G7" s="33">
        <v>1.25</v>
      </c>
      <c r="H7" s="30">
        <v>1</v>
      </c>
      <c r="I7" s="30">
        <v>120</v>
      </c>
      <c r="J7" s="30">
        <v>360</v>
      </c>
      <c r="K7" s="28" t="s">
        <v>25</v>
      </c>
      <c r="L7" s="28" t="s">
        <v>26</v>
      </c>
      <c r="M7" s="34" t="s">
        <v>33</v>
      </c>
    </row>
    <row r="8" spans="1:13" ht="23.25" x14ac:dyDescent="0.45">
      <c r="A8" s="20" t="s">
        <v>34</v>
      </c>
      <c r="B8" s="21" t="s">
        <v>24</v>
      </c>
      <c r="C8" s="22">
        <f ca="1">INDEX('Treasury Yields'!$G$4:$G$9,MATCH(B8,'Treasury Yields'!$A$4:$A$9,0))</f>
        <v>4.6300000000000001E-2</v>
      </c>
      <c r="D8" s="23">
        <v>110</v>
      </c>
      <c r="E8" s="24">
        <f t="shared" ca="1" si="0"/>
        <v>5.7300000000000004E-2</v>
      </c>
      <c r="F8" s="25">
        <v>0.85</v>
      </c>
      <c r="G8" s="26">
        <v>1.1759999999999999</v>
      </c>
      <c r="H8" s="23">
        <v>0</v>
      </c>
      <c r="I8" s="23">
        <v>420</v>
      </c>
      <c r="J8" s="23">
        <v>420</v>
      </c>
      <c r="K8" s="21" t="s">
        <v>25</v>
      </c>
      <c r="L8" s="21" t="s">
        <v>26</v>
      </c>
      <c r="M8" s="27" t="s">
        <v>35</v>
      </c>
    </row>
    <row r="9" spans="1:13" ht="23.25" x14ac:dyDescent="0.45">
      <c r="A9" s="8" t="s">
        <v>36</v>
      </c>
      <c r="B9" s="28" t="s">
        <v>24</v>
      </c>
      <c r="C9" s="29">
        <f ca="1">INDEX('Treasury Yields'!$G$4:$G$9,MATCH(B9,'Treasury Yields'!$A$4:$A$9,0))</f>
        <v>4.6300000000000001E-2</v>
      </c>
      <c r="D9" s="30">
        <v>140</v>
      </c>
      <c r="E9" s="31">
        <f t="shared" ca="1" si="0"/>
        <v>6.0299999999999999E-2</v>
      </c>
      <c r="F9" s="32">
        <v>0.85</v>
      </c>
      <c r="G9" s="33">
        <v>1.1759999999999999</v>
      </c>
      <c r="H9" s="30">
        <v>0</v>
      </c>
      <c r="I9" s="30">
        <v>480</v>
      </c>
      <c r="J9" s="30">
        <v>480</v>
      </c>
      <c r="K9" s="28" t="s">
        <v>25</v>
      </c>
      <c r="L9" s="28" t="s">
        <v>26</v>
      </c>
      <c r="M9" s="34" t="s">
        <v>37</v>
      </c>
    </row>
    <row r="10" spans="1:13" ht="23.25" x14ac:dyDescent="0.45">
      <c r="A10" s="20" t="s">
        <v>38</v>
      </c>
      <c r="B10" s="21" t="s">
        <v>24</v>
      </c>
      <c r="C10" s="22">
        <f ca="1">INDEX('Treasury Yields'!$G$4:$G$9,MATCH(B10,'Treasury Yields'!$A$4:$A$9,0))</f>
        <v>4.6300000000000001E-2</v>
      </c>
      <c r="D10" s="23">
        <v>135</v>
      </c>
      <c r="E10" s="24">
        <f t="shared" ca="1" si="0"/>
        <v>5.9799999999999999E-2</v>
      </c>
      <c r="F10" s="25">
        <v>0.65</v>
      </c>
      <c r="G10" s="26">
        <v>1.35</v>
      </c>
      <c r="H10" s="23">
        <v>2</v>
      </c>
      <c r="I10" s="23">
        <v>120</v>
      </c>
      <c r="J10" s="23">
        <v>360</v>
      </c>
      <c r="K10" s="21" t="s">
        <v>25</v>
      </c>
      <c r="L10" s="21" t="s">
        <v>26</v>
      </c>
      <c r="M10" s="27" t="s">
        <v>39</v>
      </c>
    </row>
    <row r="11" spans="1:13" ht="23.25" x14ac:dyDescent="0.45">
      <c r="A11" s="8" t="s">
        <v>40</v>
      </c>
      <c r="B11" s="28" t="s">
        <v>24</v>
      </c>
      <c r="C11" s="29">
        <f ca="1">INDEX('Treasury Yields'!$G$4:$G$9,MATCH(B11,'Treasury Yields'!$A$4:$A$9,0))</f>
        <v>4.6300000000000001E-2</v>
      </c>
      <c r="D11" s="30">
        <v>250</v>
      </c>
      <c r="E11" s="31">
        <f t="shared" ca="1" si="0"/>
        <v>7.1300000000000002E-2</v>
      </c>
      <c r="F11" s="32">
        <v>0.75</v>
      </c>
      <c r="G11" s="33">
        <v>1.25</v>
      </c>
      <c r="H11" s="30">
        <v>5</v>
      </c>
      <c r="I11" s="30">
        <v>120</v>
      </c>
      <c r="J11" s="30">
        <v>360</v>
      </c>
      <c r="K11" s="28" t="s">
        <v>25</v>
      </c>
      <c r="L11" s="28" t="s">
        <v>26</v>
      </c>
      <c r="M11" s="34" t="s">
        <v>41</v>
      </c>
    </row>
    <row r="12" spans="1:13" ht="23.25" x14ac:dyDescent="0.45">
      <c r="A12" s="20" t="s">
        <v>42</v>
      </c>
      <c r="B12" s="21" t="s">
        <v>43</v>
      </c>
      <c r="C12" s="22">
        <f ca="1">INDEX('Treasury Yields'!$G$4:$G$9,MATCH(B12,'Treasury Yields'!$A$4:$A$9,0))</f>
        <v>4.3299999999999998E-2</v>
      </c>
      <c r="D12" s="23">
        <v>225</v>
      </c>
      <c r="E12" s="24">
        <f t="shared" ca="1" si="0"/>
        <v>6.5799999999999997E-2</v>
      </c>
      <c r="F12" s="25">
        <v>0.7</v>
      </c>
      <c r="G12" s="26">
        <v>1.25</v>
      </c>
      <c r="H12" s="23">
        <v>1</v>
      </c>
      <c r="I12" s="23">
        <v>60</v>
      </c>
      <c r="J12" s="23">
        <v>300</v>
      </c>
      <c r="K12" s="21" t="s">
        <v>25</v>
      </c>
      <c r="L12" s="21" t="s">
        <v>15</v>
      </c>
      <c r="M12" s="27" t="s">
        <v>44</v>
      </c>
    </row>
    <row r="13" spans="1:13" ht="23.25" x14ac:dyDescent="0.45">
      <c r="A13" s="8" t="s">
        <v>45</v>
      </c>
      <c r="B13" s="28" t="s">
        <v>43</v>
      </c>
      <c r="C13" s="29">
        <f ca="1">INDEX('Treasury Yields'!$G$4:$G$9,MATCH(B13,'Treasury Yields'!$A$4:$A$9,0))</f>
        <v>4.3299999999999998E-2</v>
      </c>
      <c r="D13" s="30">
        <v>235</v>
      </c>
      <c r="E13" s="31">
        <f t="shared" ca="1" si="0"/>
        <v>6.6799999999999998E-2</v>
      </c>
      <c r="F13" s="32">
        <v>0.75</v>
      </c>
      <c r="G13" s="33">
        <v>1.25</v>
      </c>
      <c r="H13" s="30">
        <v>0</v>
      </c>
      <c r="I13" s="30">
        <v>60</v>
      </c>
      <c r="J13" s="30">
        <v>360</v>
      </c>
      <c r="K13" s="28" t="s">
        <v>25</v>
      </c>
      <c r="L13" s="28" t="s">
        <v>46</v>
      </c>
      <c r="M13" s="34" t="s">
        <v>47</v>
      </c>
    </row>
    <row r="14" spans="1:13" ht="23.25" x14ac:dyDescent="0.45">
      <c r="A14" s="20" t="s">
        <v>48</v>
      </c>
      <c r="B14" s="21" t="s">
        <v>49</v>
      </c>
      <c r="C14" s="22">
        <f ca="1">INDEX('Treasury Yields'!$G$4:$G$9,MATCH(B14,'Treasury Yields'!$A$4:$A$9,0))</f>
        <v>3.6200000000000003E-2</v>
      </c>
      <c r="D14" s="23">
        <v>300</v>
      </c>
      <c r="E14" s="24">
        <f t="shared" ca="1" si="0"/>
        <v>6.6200000000000009E-2</v>
      </c>
      <c r="F14" s="25">
        <v>0.7</v>
      </c>
      <c r="G14" s="26">
        <v>1</v>
      </c>
      <c r="H14" s="23">
        <v>3</v>
      </c>
      <c r="I14" s="23">
        <v>36</v>
      </c>
      <c r="J14" s="23">
        <v>0</v>
      </c>
      <c r="K14" s="21" t="s">
        <v>50</v>
      </c>
      <c r="L14" s="21" t="s">
        <v>51</v>
      </c>
      <c r="M14" s="27" t="s">
        <v>52</v>
      </c>
    </row>
    <row r="15" spans="1:13" ht="23.25" x14ac:dyDescent="0.45">
      <c r="A15" s="8" t="s">
        <v>53</v>
      </c>
      <c r="B15" s="28" t="s">
        <v>49</v>
      </c>
      <c r="C15" s="29">
        <f ca="1">INDEX('Treasury Yields'!$G$4:$G$9,MATCH(B15,'Treasury Yields'!$A$4:$A$9,0))</f>
        <v>3.6200000000000003E-2</v>
      </c>
      <c r="D15" s="30">
        <v>250</v>
      </c>
      <c r="E15" s="31">
        <f t="shared" ca="1" si="0"/>
        <v>6.1200000000000004E-2</v>
      </c>
      <c r="F15" s="32">
        <v>0.65</v>
      </c>
      <c r="G15" s="33">
        <v>1.05</v>
      </c>
      <c r="H15" s="30">
        <v>2</v>
      </c>
      <c r="I15" s="30">
        <v>24</v>
      </c>
      <c r="J15" s="30">
        <v>0</v>
      </c>
      <c r="K15" s="28" t="s">
        <v>50</v>
      </c>
      <c r="L15" s="28" t="s">
        <v>54</v>
      </c>
      <c r="M15" s="34" t="s">
        <v>55</v>
      </c>
    </row>
    <row r="16" spans="1:13" ht="23.25" x14ac:dyDescent="0.45">
      <c r="A16" s="20" t="s">
        <v>56</v>
      </c>
      <c r="B16" s="21" t="s">
        <v>57</v>
      </c>
      <c r="C16" s="22">
        <f>INDEX('Treasury Yields'!$G$4:$G$9,MATCH(B16,'Treasury Yields'!$A$4:$A$9,0))</f>
        <v>0</v>
      </c>
      <c r="D16" s="23">
        <v>1250</v>
      </c>
      <c r="E16" s="24">
        <f t="shared" si="0"/>
        <v>0.125</v>
      </c>
      <c r="F16" s="25">
        <v>0.85</v>
      </c>
      <c r="G16" s="26">
        <v>1.05</v>
      </c>
      <c r="H16" s="23">
        <v>10</v>
      </c>
      <c r="I16" s="23">
        <v>120</v>
      </c>
      <c r="J16" s="23">
        <v>0</v>
      </c>
      <c r="K16" s="21" t="s">
        <v>25</v>
      </c>
      <c r="L16" s="21" t="s">
        <v>26</v>
      </c>
      <c r="M16" s="27" t="s">
        <v>58</v>
      </c>
    </row>
    <row r="18" spans="1:13" ht="39.75" customHeight="1" x14ac:dyDescent="0.45">
      <c r="A18" s="2" t="s">
        <v>59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mergeCells count="3">
    <mergeCell ref="A1:M1"/>
    <mergeCell ref="A2:M2"/>
    <mergeCell ref="A18:M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2" width="14" customWidth="1"/>
    <col min="3" max="3" width="30" customWidth="1"/>
    <col min="4" max="4" width="14" customWidth="1"/>
    <col min="5" max="8" width="12" customWidth="1"/>
  </cols>
  <sheetData>
    <row r="1" spans="1:8" ht="21.75" customHeight="1" x14ac:dyDescent="0.45">
      <c r="A1" s="6" t="s">
        <v>60</v>
      </c>
      <c r="B1" s="6"/>
      <c r="C1" s="6"/>
      <c r="D1" s="6"/>
      <c r="E1" s="6"/>
      <c r="F1" s="6"/>
      <c r="G1" s="6"/>
      <c r="H1" s="6"/>
    </row>
    <row r="2" spans="1:8" x14ac:dyDescent="0.45">
      <c r="A2" s="5" t="s">
        <v>61</v>
      </c>
      <c r="B2" s="5"/>
      <c r="C2" s="5"/>
      <c r="D2" s="5"/>
      <c r="E2" s="5"/>
      <c r="F2" s="5"/>
      <c r="G2" s="5"/>
      <c r="H2" s="5"/>
    </row>
    <row r="3" spans="1:8" ht="26.25" x14ac:dyDescent="0.45">
      <c r="A3" s="19" t="s">
        <v>11</v>
      </c>
      <c r="B3" s="19" t="s">
        <v>62</v>
      </c>
      <c r="C3" s="19" t="s">
        <v>63</v>
      </c>
      <c r="D3" s="19" t="s">
        <v>64</v>
      </c>
      <c r="E3" s="19" t="s">
        <v>65</v>
      </c>
      <c r="F3" s="19" t="s">
        <v>66</v>
      </c>
      <c r="G3" s="19" t="s">
        <v>67</v>
      </c>
      <c r="H3" s="19" t="s">
        <v>68</v>
      </c>
    </row>
    <row r="4" spans="1:8" x14ac:dyDescent="0.45">
      <c r="A4" s="20" t="s">
        <v>43</v>
      </c>
      <c r="B4" s="35" t="s">
        <v>69</v>
      </c>
      <c r="C4" s="35" t="str">
        <f ca="1">"https://fred.stlouisfed.org/graph/fredgraph.csv?id="&amp;B4&amp;"&amp;cosd="&amp;TEXT(TODAY()-21,"YYYY-MM-DD")</f>
        <v>https://fred.stlouisfed.org/graph/fredgraph.csv?id=DGS5&amp;cosd=2026-07-15</v>
      </c>
      <c r="D4" s="35" t="str">
        <f ca="1">IFERROR(_xludf.webservice(C4),"")</f>
        <v/>
      </c>
      <c r="E4" s="36" t="str">
        <f ca="1">IFERROR(VALUE(TRIM(RIGHT(SUBSTITUTE(SUBSTITUTE(SUBSTITUTE(D4,CHAR(13),""),CHAR(10),""),",",REPT(" ",200)),200)))/100,"")</f>
        <v/>
      </c>
      <c r="F4" s="37">
        <v>4.3299999999999998E-2</v>
      </c>
      <c r="G4" s="24">
        <f ca="1">IF(ISNUMBER(E4),E4,F4)</f>
        <v>4.3299999999999998E-2</v>
      </c>
      <c r="H4" s="38" t="s">
        <v>70</v>
      </c>
    </row>
    <row r="5" spans="1:8" x14ac:dyDescent="0.45">
      <c r="A5" s="8" t="s">
        <v>71</v>
      </c>
      <c r="B5" s="15" t="s">
        <v>72</v>
      </c>
      <c r="C5" s="15" t="str">
        <f ca="1">"https://fred.stlouisfed.org/graph/fredgraph.csv?id="&amp;B5&amp;"&amp;cosd="&amp;TEXT(TODAY()-21,"YYYY-MM-DD")</f>
        <v>https://fred.stlouisfed.org/graph/fredgraph.csv?id=DGS7&amp;cosd=2026-07-15</v>
      </c>
      <c r="D5" s="35" t="str">
        <f ca="1">IFERROR(_xludf.webservice(C5),"")</f>
        <v/>
      </c>
      <c r="E5" s="39" t="str">
        <f ca="1">IFERROR(VALUE(TRIM(RIGHT(SUBSTITUTE(SUBSTITUTE(SUBSTITUTE(D5,CHAR(13),""),CHAR(10),""),",",REPT(" ",200)),200)))/100,"")</f>
        <v/>
      </c>
      <c r="F5" s="37">
        <v>4.4699999999999997E-2</v>
      </c>
      <c r="G5" s="31">
        <f ca="1">IF(ISNUMBER(E5),E5,F5)</f>
        <v>4.4699999999999997E-2</v>
      </c>
      <c r="H5" s="40" t="s">
        <v>70</v>
      </c>
    </row>
    <row r="6" spans="1:8" x14ac:dyDescent="0.45">
      <c r="A6" s="20" t="s">
        <v>24</v>
      </c>
      <c r="B6" s="35" t="s">
        <v>73</v>
      </c>
      <c r="C6" s="35" t="str">
        <f ca="1">"https://fred.stlouisfed.org/graph/fredgraph.csv?id="&amp;B6&amp;"&amp;cosd="&amp;TEXT(TODAY()-21,"YYYY-MM-DD")</f>
        <v>https://fred.stlouisfed.org/graph/fredgraph.csv?id=DGS10&amp;cosd=2026-07-15</v>
      </c>
      <c r="D6" s="35" t="str">
        <f ca="1">IFERROR(_xludf.webservice(C6),"")</f>
        <v/>
      </c>
      <c r="E6" s="36" t="str">
        <f ca="1">IFERROR(VALUE(TRIM(RIGHT(SUBSTITUTE(SUBSTITUTE(SUBSTITUTE(D6,CHAR(13),""),CHAR(10),""),",",REPT(" ",200)),200)))/100,"")</f>
        <v/>
      </c>
      <c r="F6" s="37">
        <v>4.6300000000000001E-2</v>
      </c>
      <c r="G6" s="24">
        <f ca="1">IF(ISNUMBER(E6),E6,F6)</f>
        <v>4.6300000000000001E-2</v>
      </c>
      <c r="H6" s="38" t="s">
        <v>70</v>
      </c>
    </row>
    <row r="7" spans="1:8" x14ac:dyDescent="0.45">
      <c r="A7" s="8" t="s">
        <v>74</v>
      </c>
      <c r="B7" s="15" t="s">
        <v>75</v>
      </c>
      <c r="C7" s="15" t="str">
        <f ca="1">"https://fred.stlouisfed.org/graph/fredgraph.csv?id="&amp;B7&amp;"&amp;cosd="&amp;TEXT(TODAY()-21,"YYYY-MM-DD")</f>
        <v>https://fred.stlouisfed.org/graph/fredgraph.csv?id=DGS30&amp;cosd=2026-07-15</v>
      </c>
      <c r="D7" s="35" t="str">
        <f ca="1">IFERROR(_xludf.webservice(C7),"")</f>
        <v/>
      </c>
      <c r="E7" s="39" t="str">
        <f ca="1">IFERROR(VALUE(TRIM(RIGHT(SUBSTITUTE(SUBSTITUTE(SUBSTITUTE(D7,CHAR(13),""),CHAR(10),""),",",REPT(" ",200)),200)))/100,"")</f>
        <v/>
      </c>
      <c r="F7" s="37">
        <v>5.1700000000000003E-2</v>
      </c>
      <c r="G7" s="31">
        <f ca="1">IF(ISNUMBER(E7),E7,F7)</f>
        <v>5.1700000000000003E-2</v>
      </c>
      <c r="H7" s="40" t="s">
        <v>70</v>
      </c>
    </row>
    <row r="8" spans="1:8" x14ac:dyDescent="0.45">
      <c r="A8" s="20" t="s">
        <v>49</v>
      </c>
      <c r="B8" s="35" t="s">
        <v>76</v>
      </c>
      <c r="C8" s="35" t="str">
        <f ca="1">"https://fred.stlouisfed.org/graph/fredgraph.csv?id="&amp;B8&amp;"&amp;cosd="&amp;TEXT(TODAY()-21,"YYYY-MM-DD")</f>
        <v>https://fred.stlouisfed.org/graph/fredgraph.csv?id=SOFR30DAYAVG&amp;cosd=2026-07-15</v>
      </c>
      <c r="D8" s="35" t="str">
        <f ca="1">IFERROR(_xludf.webservice(C8),"")</f>
        <v/>
      </c>
      <c r="E8" s="36" t="str">
        <f ca="1">IFERROR(VALUE(TRIM(RIGHT(SUBSTITUTE(SUBSTITUTE(SUBSTITUTE(D8,CHAR(13),""),CHAR(10),""),",",REPT(" ",200)),200)))/100,"")</f>
        <v/>
      </c>
      <c r="F8" s="37">
        <v>3.6200000000000003E-2</v>
      </c>
      <c r="G8" s="24">
        <f ca="1">IF(ISNUMBER(E8),E8,F8)</f>
        <v>3.6200000000000003E-2</v>
      </c>
      <c r="H8" s="38" t="s">
        <v>77</v>
      </c>
    </row>
    <row r="9" spans="1:8" x14ac:dyDescent="0.45">
      <c r="A9" s="8" t="s">
        <v>57</v>
      </c>
      <c r="B9" s="15"/>
      <c r="C9" s="40" t="s">
        <v>78</v>
      </c>
      <c r="D9" s="38" t="s">
        <v>78</v>
      </c>
      <c r="E9" s="41" t="s">
        <v>78</v>
      </c>
      <c r="F9" s="37">
        <v>0</v>
      </c>
      <c r="G9" s="31">
        <f>F9</f>
        <v>0</v>
      </c>
      <c r="H9" s="40" t="s">
        <v>79</v>
      </c>
    </row>
    <row r="11" spans="1:8" ht="30" customHeight="1" x14ac:dyDescent="0.45">
      <c r="A11" s="2" t="s">
        <v>80</v>
      </c>
      <c r="B11" s="2"/>
      <c r="C11" s="2"/>
      <c r="D11" s="2"/>
      <c r="E11" s="2"/>
      <c r="F11" s="2"/>
      <c r="G11" s="2"/>
      <c r="H11" s="2"/>
    </row>
  </sheetData>
  <mergeCells count="3">
    <mergeCell ref="A1:H1"/>
    <mergeCell ref="A2:H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/>
  </sheetViews>
  <sheetFormatPr defaultColWidth="8.6640625" defaultRowHeight="14.25" x14ac:dyDescent="0.45"/>
  <cols>
    <col min="1" max="1" width="20" customWidth="1"/>
    <col min="2" max="2" width="100" customWidth="1"/>
  </cols>
  <sheetData>
    <row r="1" spans="1:2" ht="21.75" customHeight="1" x14ac:dyDescent="0.5">
      <c r="A1" s="1" t="s">
        <v>81</v>
      </c>
      <c r="B1" s="1"/>
    </row>
    <row r="3" spans="1:2" ht="69.75" customHeight="1" x14ac:dyDescent="0.45">
      <c r="A3" s="7" t="s">
        <v>82</v>
      </c>
      <c r="B3" s="42" t="s">
        <v>83</v>
      </c>
    </row>
    <row r="4" spans="1:2" ht="55.5" customHeight="1" x14ac:dyDescent="0.45">
      <c r="A4" s="7" t="s">
        <v>84</v>
      </c>
      <c r="B4" s="42" t="s">
        <v>85</v>
      </c>
    </row>
    <row r="5" spans="1:2" ht="30" customHeight="1" x14ac:dyDescent="0.45">
      <c r="A5" s="7" t="s">
        <v>86</v>
      </c>
      <c r="B5" s="42" t="s">
        <v>87</v>
      </c>
    </row>
    <row r="6" spans="1:2" ht="55.5" customHeight="1" x14ac:dyDescent="0.45">
      <c r="A6" s="7" t="s">
        <v>88</v>
      </c>
      <c r="B6" s="42" t="s">
        <v>89</v>
      </c>
    </row>
    <row r="7" spans="1:2" ht="30" customHeight="1" x14ac:dyDescent="0.45">
      <c r="A7" s="7" t="s">
        <v>90</v>
      </c>
      <c r="B7" s="42" t="s">
        <v>91</v>
      </c>
    </row>
    <row r="8" spans="1:2" ht="42" customHeight="1" x14ac:dyDescent="0.45">
      <c r="A8" s="7" t="s">
        <v>92</v>
      </c>
      <c r="B8" s="42" t="s">
        <v>93</v>
      </c>
    </row>
    <row r="9" spans="1:2" ht="30" customHeight="1" x14ac:dyDescent="0.45">
      <c r="A9" s="7" t="s">
        <v>94</v>
      </c>
      <c r="B9" s="42" t="s">
        <v>95</v>
      </c>
    </row>
    <row r="10" spans="1:2" ht="30" customHeight="1" x14ac:dyDescent="0.45">
      <c r="A10" s="7" t="s">
        <v>96</v>
      </c>
      <c r="B10" s="42" t="s">
        <v>97</v>
      </c>
    </row>
    <row r="11" spans="1:2" ht="30" customHeight="1" x14ac:dyDescent="0.45">
      <c r="A11" s="7" t="s">
        <v>98</v>
      </c>
      <c r="B11" s="42" t="s">
        <v>99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Loan Assumptions</vt:lpstr>
      <vt:lpstr>Loan Terms</vt:lpstr>
      <vt:lpstr>Treasury Yields</vt:lpstr>
      <vt:lpstr>Instructions</vt:lpstr>
      <vt:lpstr>LenderList</vt:lpstr>
      <vt:lpstr>LoanTermsTable</vt:lpstr>
      <vt:lpstr>SOFR_30D</vt:lpstr>
      <vt:lpstr>UST_10Y</vt:lpstr>
      <vt:lpstr>UST_30Y</vt:lpstr>
      <vt:lpstr>UST_5Y</vt:lpstr>
      <vt:lpstr>UST_7Y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Dmytro Gladchenko</cp:lastModifiedBy>
  <cp:revision>0</cp:revision>
  <dcterms:created xsi:type="dcterms:W3CDTF">2026-08-06T02:14:00Z</dcterms:created>
  <dcterms:modified xsi:type="dcterms:W3CDTF">2026-08-06T03:14:02Z</dcterms:modified>
  <dc:language>en-US</dc:language>
</cp:coreProperties>
</file>